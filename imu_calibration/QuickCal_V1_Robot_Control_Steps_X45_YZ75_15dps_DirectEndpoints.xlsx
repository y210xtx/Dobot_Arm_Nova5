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a4e11386ee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4e826cbc784f4879"/>
    <x:sheet xmlns:r="http://schemas.openxmlformats.org/officeDocument/2006/relationships" name="动作清单" sheetId="2" r:id="Rdd7bfe2143834d70"/>
    <x:sheet xmlns:r="http://schemas.openxmlformats.org/officeDocument/2006/relationships" name="接口与安全" sheetId="3" r:id="R6600d250358341a2"/>
    <x:sheet xmlns:r="http://schemas.openxmlformats.org/officeDocument/2006/relationships" name="限位参数" sheetId="4" r:id="R35885c0332cf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 &quot;s&quot;"/>
    <x:numFmt numFmtId="201" formatCode="0"/>
    <x:numFmt numFmtId="202" formatCode="0.0&quot;°&quot;"/>
    <x:numFmt numFmtId="203" formatCode="0.0&quot; s&quot;"/>
  </x:numFmts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44546A"/>
      <x:name val="Carlito"/>
    </x:font>
    <x:font>
      <x:b/>
      <x:sz val="11"/>
      <x:color rgb="FF17365D"/>
      <x:name val="Carlito"/>
    </x:font>
    <x:font>
      <x:b/>
      <x:sz val="13"/>
      <x:color rgb="FF1F5E2B"/>
      <x:name val="Carlito"/>
    </x:font>
    <x:font>
      <x:b/>
      <x:sz val="13"/>
      <x:color rgb="FF17365D"/>
      <x:name val="Carlito"/>
    </x:font>
    <x:font>
      <x:b/>
      <x:sz val="11"/>
      <x:color rgb="FF9C6500"/>
      <x:name val="Carlito"/>
    </x:font>
    <x:font>
      <x:b/>
      <x:sz val="11"/>
      <x:color rgb="FF1F5E2B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top style="thin">
        <x:color rgb="FFD0D7DE"/>
      </x:top>
    </x:border>
  </x:borders>
  <x:cellStyleXfs count="1">
    <x:xf numFmtId="0" fontId="0" fillId="0" borderId="0"/>
  </x:cellStyleXfs>
  <x:cellXfs count="1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3" fillId="5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3" fillId="5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horizontal="center" vertical="center" wrapText="1"/>
    </x:xf>
    <x:xf numFmtId="201" fontId="0" fillId="7" borderId="1" xfId="0" applyNumberFormat="1" applyFont="1" applyFill="1" applyBorder="1" applyAlignment="1">
      <x:alignment vertical="center" wrapText="1"/>
    </x:xf>
    <x:xf numFmtId="201" fontId="3" fillId="7" borderId="1" xfId="0" applyNumberFormat="1" applyFont="1" applyFill="1" applyBorder="1" applyAlignment="1">
      <x:alignment vertical="center" wrapText="1"/>
    </x:xf>
    <x:xf numFmtId="201" fontId="5" fillId="7" borderId="1" xfId="0" applyNumberFormat="1" applyFont="1" applyFill="1" applyBorder="1" applyAlignment="1">
      <x:alignment vertical="center" wrapText="1"/>
    </x:xf>
    <x:xf numFmtId="201" fontId="5" fillId="7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202" fontId="6" fillId="7" borderId="1" xfId="0" applyNumberFormat="1" applyFont="1" applyFill="1" applyBorder="1" applyAlignment="1">
      <x:alignment horizontal="center" vertical="center" wrapText="1"/>
    </x:xf>
    <x:xf numFmtId="202" fontId="7" fillId="6" borderId="1" xfId="0" applyNumberFormat="1" applyFont="1" applyFill="1" applyBorder="1" applyAlignment="1">
      <x:alignment horizontal="center" vertical="center" wrapText="1"/>
    </x:xf>
    <x:xf numFmtId="203" fontId="7" fillId="6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" xfId="0" applyNumberFormat="1" applyFont="1" applyFill="1" applyBorder="1"/>
    <x:xf numFmtId="0" fontId="8" fillId="8" borderId="2" xfId="0" applyNumberFormat="1" applyFont="1" applyFill="1" applyBorder="1" applyAlignment="1">
      <x:alignment wrapText="1"/>
    </x:xf>
    <x:xf numFmtId="0" fontId="8" fillId="8" borderId="2" xfId="0" applyNumberFormat="1" applyFont="1" applyFill="1" applyBorder="1" applyAlignment="1">
      <x:alignment horizont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3" fillId="0" borderId="6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9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200" fontId="0" fillId="0" borderId="4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7" borderId="4" xfId="0" applyNumberFormat="1" applyFont="1" applyFill="1" applyBorder="1" applyAlignment="1">
      <x:alignment vertical="center" wrapText="1"/>
    </x:xf>
    <x:xf numFmtId="200" fontId="0" fillId="7" borderId="1" xfId="0" applyNumberFormat="1" applyFont="1" applyFill="1" applyBorder="1" applyAlignment="1">
      <x:alignment vertical="center" wrapText="1"/>
    </x:xf>
    <x:xf numFmtId="200" fontId="0" fillId="7" borderId="9" xfId="0" applyNumberFormat="1" applyFont="1" applyFill="1" applyBorder="1" applyAlignment="1">
      <x:alignment vertical="center" wrapText="1"/>
    </x:xf>
    <x:xf numFmtId="200" fontId="0" fillId="7" borderId="4" xfId="0" applyNumberFormat="1" applyFont="1" applyFill="1" applyBorder="1" applyAlignment="1">
      <x:alignment horizontal="center" vertical="center" wrapText="1"/>
    </x:xf>
    <x:xf numFmtId="200" fontId="0" fillId="7" borderId="1" xfId="0" applyNumberFormat="1" applyFont="1" applyFill="1" applyBorder="1" applyAlignment="1">
      <x:alignment horizontal="center" vertical="center" wrapText="1"/>
    </x:xf>
    <x:xf numFmtId="200" fontId="0" fillId="6" borderId="4" xfId="0" applyNumberFormat="1" applyFont="1" applyFill="1" applyBorder="1" applyAlignment="1">
      <x:alignment vertical="center" wrapText="1"/>
    </x:xf>
    <x:xf numFmtId="200" fontId="0" fillId="6" borderId="9" xfId="0" applyNumberFormat="1" applyFont="1" applyFill="1" applyBorder="1" applyAlignment="1">
      <x:alignment vertical="center" wrapText="1"/>
    </x:xf>
    <x:xf numFmtId="200" fontId="7" fillId="6" borderId="4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0" fontId="7" fillId="6" borderId="9" xfId="0" applyNumberFormat="1" applyFont="1" applyFill="1" applyBorder="1" applyAlignment="1">
      <x:alignment vertical="center" wrapText="1"/>
    </x:xf>
    <x:xf numFmtId="200" fontId="7" fillId="6" borderId="4" xfId="0" applyNumberFormat="1" applyFont="1" applyFill="1" applyBorder="1" applyAlignment="1">
      <x:alignment horizontal="center" vertical="center" wrapText="1"/>
    </x:xf>
    <x:xf numFmtId="200" fontId="7" fillId="6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200" fontId="3" fillId="4" borderId="1" xfId="0" applyNumberFormat="1" applyFont="1" applyFill="1" applyBorder="1" applyAlignment="1">
      <x:alignment vertical="center" wrapText="1"/>
    </x:xf>
    <x:xf numFmtId="200" fontId="3" fillId="6" borderId="1" xfId="0" applyNumberFormat="1" applyFont="1" applyFill="1" applyBorder="1" applyAlignment="1">
      <x:alignment vertical="center" wrapText="1"/>
    </x:xf>
    <x:xf numFmtId="0" fontId="0" fillId="5" borderId="3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3" fillId="5" borderId="6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F5E2B"/>
      </x:font>
      <x:fill>
        <x:patternFill>
          <x:bgColor rgb="FFE2F0D9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b2552c2274db3" /><Relationship Type="http://schemas.openxmlformats.org/officeDocument/2006/relationships/theme" Target="/xl/theme/theme1.xml" Id="Rba7652e3809b4b56" /><Relationship Type="http://schemas.openxmlformats.org/officeDocument/2006/relationships/sharedStrings" Target="/xl/sharedStrings.xml" Id="R9b0f6489e5cc4aec" /><Relationship Type="http://schemas.openxmlformats.org/officeDocument/2006/relationships/worksheet" Target="/xl/worksheets/sheet1.xml" Id="R4e826cbc784f4879" /><Relationship Type="http://schemas.openxmlformats.org/officeDocument/2006/relationships/worksheet" Target="/xl/worksheets/sheet2.xml" Id="Rdd7bfe2143834d70" /><Relationship Type="http://schemas.openxmlformats.org/officeDocument/2006/relationships/worksheet" Target="/xl/worksheets/sheet3.xml" Id="R6600d250358341a2" /><Relationship Type="http://schemas.openxmlformats.org/officeDocument/2006/relationships/worksheet" Target="/xl/worksheets/sheet4.xml" Id="R35885c0332cf47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3" max="3" width="15" hidden="0" customWidth="1"/>
    <x:col min="5" max="5" width="15" hidden="0" customWidth="1"/>
    <x:col min="7" max="7" width="15" hidden="0" customWidth="1"/>
    <x:col min="2" max="2" width="26" hidden="0" customWidth="1"/>
    <x:col min="4" max="4" width="26" hidden="0" customWidth="1"/>
    <x:col min="6" max="6" width="26" hidden="0" customWidth="1"/>
    <x:col min="8" max="8" width="26" hidden="0" customWidth="1"/>
  </x:cols>
  <x:sheetData>
    <x:row r="1" ht="28" customHeight="1">
      <x:c r="A1" s="5" t="str">
        <x:v>QuickCal V1 机械臂控制工单</x:v>
      </x:c>
      <x:c r="B1" s="5" t="str">
        <x:v>QuickCal V1 机械臂控制工单</x:v>
      </x:c>
      <x:c r="C1" s="5" t="str">
        <x:v>QuickCal V1 机械臂控制工单</x:v>
      </x:c>
      <x:c r="D1" s="5" t="str">
        <x:v>QuickCal V1 机械臂控制工单</x:v>
      </x:c>
      <x:c r="E1" s="5" t="str">
        <x:v>QuickCal V1 机械臂控制工单</x:v>
      </x:c>
      <x:c r="F1" s="5" t="str">
        <x:v>QuickCal V1 机械臂控制工单</x:v>
      </x:c>
      <x:c r="G1" s="5" t="str">
        <x:v>QuickCal V1 机械臂控制工单</x:v>
      </x:c>
      <x:c r="H1" s="5" t="str">
        <x:v>QuickCal V1 机械臂控制工单</x:v>
      </x:c>
    </x:row>
    <x:row r="2" ht="24" customHeight="1">
      <x:c r="A2" s="8" t="str">
        <x:v>用途：手套 IMU 工厂内参快速标定｜30 秒静止 + 六面 + 六方向 15°/s（+X/-X 为 Yaw ±45°、采集 6 s；Y、Z 均为 ±75°、采集 10 s）+ 分段三维磁翻转</x:v>
      </x:c>
      <x:c r="B2" s="8"/>
      <x:c r="C2" s="8"/>
      <x:c r="D2" s="8"/>
      <x:c r="E2" s="8"/>
      <x:c r="F2" s="8"/>
      <x:c r="G2" s="8"/>
      <x:c r="H2" s="8"/>
    </x:row>
    <x:row r="4" ht="22" customHeight="1">
      <x:c r="A4" s="11" t="str">
        <x:v>执行摘要</x:v>
      </x:c>
      <x:c r="B4" s="11" t="str">
        <x:v>执行摘要</x:v>
      </x:c>
      <x:c r="C4" s="11" t="str">
        <x:v>执行摘要</x:v>
      </x:c>
      <x:c r="D4" s="11" t="str">
        <x:v>执行摘要</x:v>
      </x:c>
      <x:c r="E4" s="11" t="str">
        <x:v>执行摘要</x:v>
      </x:c>
      <x:c r="F4" s="11" t="str">
        <x:v>执行摘要</x:v>
      </x:c>
      <x:c r="G4" s="11" t="str">
        <x:v>执行摘要</x:v>
      </x:c>
      <x:c r="H4" s="11" t="str">
        <x:v>执行摘要</x:v>
      </x:c>
    </x:row>
    <x:row r="5" ht="32" customHeight="1">
      <x:c r="A5" s="16" t="str">
        <x:v>版本</x:v>
      </x:c>
      <x:c r="B5" s="14" t="str">
        <x:v>QuickCal V1</x:v>
      </x:c>
      <x:c r="C5" s="16" t="str">
        <x:v>目标</x:v>
      </x:c>
      <x:c r="D5" s="14" t="str">
        <x:v>将 11 路 IMU 原始数据变为稳定、可重复的运动节点</x:v>
      </x:c>
      <x:c r="E5" s="16" t="str">
        <x:v>状态</x:v>
      </x:c>
      <x:c r="F5" s="14" t="str">
        <x:v>未开始</x:v>
      </x:c>
      <x:c r="G5" s="16" t="str">
        <x:v>记录目录</x:v>
      </x:c>
      <x:c r="H5" s="14" t="str">
        <x:v>由上位机创建</x:v>
      </x:c>
    </x:row>
    <x:row r="6" ht="32" customHeight="1">
      <x:c r="A6" s="16" t="str">
        <x:v>预计总时长</x:v>
      </x:c>
      <x:c r="B6" s="23" t="n">
        <x:f>'动作清单'!J27</x:f>
        <x:v>332</x:v>
      </x:c>
      <x:c r="C6" s="18" t="str">
        <x:v>总采集时间</x:v>
      </x:c>
      <x:c r="D6" s="23" t="n">
        <x:f>SUM('动作清单'!H7:H26)</x:f>
        <x:v>160</x:v>
      </x:c>
      <x:c r="E6" s="16" t="str">
        <x:v>已完成动作</x:v>
      </x:c>
      <x:c r="F6" s="27" t="n">
        <x:f>COUNTIF('动作清单'!O7:O26,"完成")</x:f>
        <x:v>0</x:v>
      </x:c>
      <x:c r="G6" s="27" t="str">
        <x:v>总动作数</x:v>
      </x:c>
      <x:c r="H6" s="27" t="n">
        <x:f>COUNTA('动作清单'!A7:A26)</x:f>
        <x:v>20</x:v>
      </x:c>
    </x:row>
    <x:row r="7" ht="32" customHeight="1">
      <x:c r="A7" s="16" t="str">
        <x:v>机械臂动作</x:v>
      </x:c>
      <x:c r="B7" s="14" t="str">
        <x:v>静止 / 六面 / 六方向 / 分段三维翻转</x:v>
      </x:c>
      <x:c r="C7" s="16" t="str">
        <x:v>默认角速度</x:v>
      </x:c>
      <x:c r="D7" s="14" t="str">
        <x:v>15 deg/s</x:v>
      </x:c>
      <x:c r="E7" s="16" t="str">
        <x:v>磁翻转</x:v>
      </x:c>
      <x:c r="F7" s="14" t="str">
        <x:v>40 s Roll/Pitch + 2×10 s Yaw 摆动</x:v>
      </x:c>
      <x:c r="G7" s="16" t="str">
        <x:v>写入条件</x:v>
      </x:c>
      <x:c r="H7" s="14" t="str">
        <x:v>全部门槛通过</x:v>
      </x:c>
    </x:row>
    <x:row r="8" ht="66" customHeight="1">
      <x:c r="A8" s="16" t="str">
        <x:v>安全原则</x:v>
      </x:c>
      <x:c r="B8" s="14" t="str">
        <x:v>所有旋转从中位进入、回中位退出；移动、加减速、反向过程不采样；夹具不得滑动。</x:v>
      </x:c>
      <x:c r="C8" s="16" t="str">
        <x:v>+X/-X（Yaw）</x:v>
      </x:c>
      <x:c r="D8" s="14" t="str">
        <x:v>Yaw 轴为 +X/-X，陀螺扫描固定在 -45°→+45°、有效采集 6 s；Y、Z 轴固定在 -75°→+75°、有效采集 10 s，各动作完成后均回 0° 中位</x:v>
      </x:c>
      <x:c r="E8" s="16" t="str">
        <x:v>通信</x:v>
      </x:c>
      <x:c r="F8" s="14" t="str">
        <x:v>USB 串口 + 工厂协议</x:v>
      </x:c>
      <x:c r="G8" s="16" t="str">
        <x:v>输出</x:v>
      </x:c>
      <x:c r="H8" s="14" t="str">
        <x:v>标定参数与原始记录</x:v>
      </x:c>
    </x:row>
    <x:row r="10" ht="22" customHeight="1">
      <x:c r="A10" s="11" t="str">
        <x:v>建议执行顺序</x:v>
      </x:c>
      <x:c r="B10" s="11" t="str">
        <x:v>建议执行顺序</x:v>
      </x:c>
      <x:c r="C10" s="11" t="str">
        <x:v>建议执行顺序</x:v>
      </x:c>
      <x:c r="D10" s="11" t="str">
        <x:v>建议执行顺序</x:v>
      </x:c>
      <x:c r="E10" s="11" t="str">
        <x:v>建议执行顺序</x:v>
      </x:c>
      <x:c r="F10" s="11" t="str">
        <x:v>建议执行顺序</x:v>
      </x:c>
      <x:c r="G10" s="11" t="str">
        <x:v>建议执行顺序</x:v>
      </x:c>
      <x:c r="H10" s="11" t="str">
        <x:v>建议执行顺序</x:v>
      </x:c>
    </x:row>
    <x:row r="11" ht="54" customHeight="1">
      <x:c r="A11" s="28" t="str">
        <x:v>1</x:v>
      </x:c>
      <x:c r="B11" s="14" t="str">
        <x:v>连接设备并填写 SN / 工位</x:v>
      </x:c>
      <x:c r="C11" s="14" t="str">
        <x:v>2</x:v>
      </x:c>
      <x:c r="D11" s="14" t="str">
        <x:v>先确认 +X/-X（Yaw）控制器允许 -45°→+45° 端点指令</x:v>
      </x:c>
      <x:c r="E11" s="14" t="str">
        <x:v>3</x:v>
      </x:c>
      <x:c r="F11" s="14" t="str">
        <x:v>按动作清单完成六面与六方向；Yaw 扫描范围 ±45°、采集 6 s；Y、Z 轴扫描范围均为 ±75°、采集 10 s</x:v>
      </x:c>
      <x:c r="G11" s="14" t="str">
        <x:v>4</x:v>
      </x:c>
      <x:c r="H11" s="14" t="str">
        <x:v>勾选环境确认后进行分段三维磁翻转</x:v>
      </x:c>
    </x:row>
    <x:row r="12" ht="28" customHeight="1">
      <x:c r="A12" s="28" t="str">
        <x:v>5</x:v>
      </x:c>
      <x:c r="B12" s="14" t="str">
        <x:v>核对所有动作状态和数据健康</x:v>
      </x:c>
      <x:c r="C12" s="14" t="str">
        <x:v>6</x:v>
      </x:c>
      <x:c r="D12" s="14" t="str">
        <x:v>点击求解并写入设备</x:v>
      </x:c>
      <x:c r="E12" s="14" t="str">
        <x:v>7</x:v>
      </x:c>
      <x:c r="F12" s="14" t="str">
        <x:v>等待 Flash 回读与 type=7 报告</x:v>
      </x:c>
      <x:c r="G12" s="14" t="str">
        <x:v>8</x:v>
      </x:c>
      <x:c r="H12" s="14" t="str">
        <x:v>保存记录后回安全位</x:v>
      </x:c>
    </x:row>
    <x:row r="13" ht="28" customHeight="1">
      <x:c r="A13" s="28" t="str">
        <x:v>说明</x:v>
      </x:c>
      <x:c r="B13" s="14" t="str">
        <x:v>当前上位机未接入具体机械臂控制器；机器人到位后，由操作员或机器人接口触发“动作到位，开始采集”。</x:v>
      </x:c>
      <x:c r="C13" s="14" t="str"/>
      <x:c r="D13" s="14" t="str"/>
      <x:c r="E13" s="14" t="str"/>
      <x:c r="F13" s="14" t="str"/>
      <x:c r="G13" s="14" t="str"/>
      <x:c r="H13" s="14" t="str"/>
    </x:row>
    <x:row r="14" ht="28" customHeight="1">
      <x:c r="A14" s="28" t="str">
        <x:v>标定范围</x:v>
      </x:c>
      <x:c r="B14" s="14" t="str">
        <x:v>加速度计：基础零偏/比例；陀螺仪：基础零偏/轴向比例；掌心磁力计：三维场覆盖。</x:v>
      </x:c>
      <x:c r="C14" s="14" t="str"/>
      <x:c r="D14" s="14" t="str"/>
      <x:c r="E14" s="14" t="str"/>
      <x:c r="F14" s="14" t="str"/>
      <x:c r="G14" s="14" t="str"/>
      <x:c r="H14" s="14" t="str"/>
    </x:row>
    <x:row r="15" ht="28" customHeight="1">
      <x:c r="A15" s="28" t="str">
        <x:v>升级方向</x:v>
      </x:c>
      <x:c r="B15" s="14" t="str">
        <x:v>后续接入机械臂协议后，可将动作清单的阶段号、开始条件和完成回包直接映射为一键流程。</x:v>
      </x:c>
      <x:c r="C15" s="14" t="str"/>
      <x:c r="D15" s="14" t="str"/>
      <x:c r="E15" s="14" t="str"/>
      <x:c r="F15" s="14" t="str"/>
      <x:c r="G15" s="14" t="str"/>
      <x:c r="H15" s="14" t="str"/>
    </x:row>
  </x:sheetData>
  <x:mergeCells>
    <x:mergeCell ref="A1:H1"/>
    <x:mergeCell ref="A2:H2"/>
    <x:mergeCell ref="A4:H4"/>
    <x:mergeCell ref="A10:H10"/>
    <x:mergeCell ref="B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8" hidden="0" customWidth="1"/>
    <x:col min="4" max="4" width="34" hidden="0" customWidth="1"/>
    <x:col min="5" max="5" width="26" hidden="0" customWidth="1"/>
    <x:col min="6" max="6" width="12" hidden="0" customWidth="1"/>
    <x:col min="7" max="7" width="12" hidden="0" customWidth="1"/>
    <x:col min="8" max="8" width="10" hidden="0" customWidth="1"/>
    <x:col min="9" max="9" width="12" hidden="0" customWidth="1"/>
    <x:col min="10" max="10" width="13" hidden="0" customWidth="1"/>
    <x:col min="11" max="11" width="13" hidden="0" customWidth="1"/>
    <x:col min="12" max="12" width="26" hidden="0" customWidth="1"/>
    <x:col min="13" max="13" width="28" hidden="0" customWidth="1"/>
    <x:col min="14" max="14" width="34" hidden="0" customWidth="1"/>
    <x:col min="15" max="15" width="13" hidden="0" customWidth="1"/>
    <x:col min="16" max="16" width="26" hidden="0" customWidth="1"/>
  </x:cols>
  <x:sheetData>
    <x:row r="1" ht="28" customHeight="1">
      <x:c r="A1" s="5" t="str">
        <x:v>QuickCal V1 机械臂逐步动作清单</x:v>
      </x:c>
      <x:c r="B1" s="5" t="str">
        <x:v>QuickCal V1 机械臂逐步动作清单</x:v>
      </x:c>
      <x:c r="C1" s="5" t="str">
        <x:v>QuickCal V1 机械臂逐步动作清单</x:v>
      </x:c>
      <x:c r="D1" s="5" t="str">
        <x:v>QuickCal V1 机械臂逐步动作清单</x:v>
      </x:c>
      <x:c r="E1" s="5" t="str">
        <x:v>QuickCal V1 机械臂逐步动作清单</x:v>
      </x:c>
      <x:c r="F1" s="5" t="str">
        <x:v>QuickCal V1 机械臂逐步动作清单</x:v>
      </x:c>
      <x:c r="G1" s="5" t="str">
        <x:v>QuickCal V1 机械臂逐步动作清单</x:v>
      </x:c>
      <x:c r="H1" s="5" t="str">
        <x:v>QuickCal V1 机械臂逐步动作清单</x:v>
      </x:c>
      <x:c r="I1" s="5" t="str">
        <x:v>QuickCal V1 机械臂逐步动作清单</x:v>
      </x:c>
      <x:c r="J1" s="5" t="str">
        <x:v>QuickCal V1 机械臂逐步动作清单</x:v>
      </x:c>
      <x:c r="K1" s="5" t="str">
        <x:v>QuickCal V1 机械臂逐步动作清单</x:v>
      </x:c>
      <x:c r="L1" s="5" t="str">
        <x:v>QuickCal V1 机械臂逐步动作清单</x:v>
      </x:c>
      <x:c r="M1" s="5" t="str">
        <x:v>QuickCal V1 机械臂逐步动作清单</x:v>
      </x:c>
      <x:c r="N1" s="5" t="str">
        <x:v>QuickCal V1 机械臂逐步动作清单</x:v>
      </x:c>
      <x:c r="O1" s="5" t="str">
        <x:v>QuickCal V1 机械臂逐步动作清单</x:v>
      </x:c>
      <x:c r="P1" s="5" t="str">
        <x:v>QuickCal V1 机械臂逐步动作清单</x:v>
      </x:c>
    </x:row>
    <x:row r="2" ht="28" customHeight="1">
      <x:c r="A2" s="8" t="str">
        <x:v>机械臂仅在“开始条件”满足时触发采集。移动、加速、减速、反向均不得作为拟合数据。状态列可由操作员填写，也可在后续接入机器人接口后自动更新。</x:v>
      </x:c>
      <x:c r="B2" s="8" t="str">
        <x:v>机械臂仅在“开始条件”满足时触发采集。移动、加速、减速、反向均不得作为拟合数据。状态列可由操作员填写，也可在后续接入机器人接口后自动更新。</x:v>
      </x:c>
      <x:c r="C2" s="8" t="str">
        <x:v>机械臂仅在“开始条件”满足时触发采集。移动、加速、减速、反向均不得作为拟合数据。状态列可由操作员填写，也可在后续接入机器人接口后自动更新。</x:v>
      </x:c>
      <x:c r="D2" s="8" t="str">
        <x:v>机械臂仅在“开始条件”满足时触发采集。移动、加速、减速、反向均不得作为拟合数据。状态列可由操作员填写，也可在后续接入机器人接口后自动更新。</x:v>
      </x:c>
      <x:c r="E2" s="8" t="str">
        <x:v>机械臂仅在“开始条件”满足时触发采集。移动、加速、减速、反向均不得作为拟合数据。状态列可由操作员填写，也可在后续接入机器人接口后自动更新。</x:v>
      </x:c>
      <x:c r="F2" s="8" t="str">
        <x:v>机械臂仅在“开始条件”满足时触发采集。移动、加速、减速、反向均不得作为拟合数据。状态列可由操作员填写，也可在后续接入机器人接口后自动更新。</x:v>
      </x:c>
      <x:c r="G2" s="8" t="str">
        <x:v>机械臂仅在“开始条件”满足时触发采集。移动、加速、减速、反向均不得作为拟合数据。状态列可由操作员填写，也可在后续接入机器人接口后自动更新。</x:v>
      </x:c>
      <x:c r="H2" s="8" t="str">
        <x:v>机械臂仅在“开始条件”满足时触发采集。移动、加速、减速、反向均不得作为拟合数据。状态列可由操作员填写，也可在后续接入机器人接口后自动更新。</x:v>
      </x:c>
      <x:c r="I2" s="8" t="str">
        <x:v>机械臂仅在“开始条件”满足时触发采集。移动、加速、减速、反向均不得作为拟合数据。状态列可由操作员填写，也可在后续接入机器人接口后自动更新。</x:v>
      </x:c>
      <x:c r="J2" s="8" t="str">
        <x:v>机械臂仅在“开始条件”满足时触发采集。移动、加速、减速、反向均不得作为拟合数据。状态列可由操作员填写，也可在后续接入机器人接口后自动更新。</x:v>
      </x:c>
      <x:c r="K2" s="8" t="str">
        <x:v>机械臂仅在“开始条件”满足时触发采集。移动、加速、减速、反向均不得作为拟合数据。状态列可由操作员填写，也可在后续接入机器人接口后自动更新。</x:v>
      </x:c>
      <x:c r="L2" s="8" t="str">
        <x:v>机械臂仅在“开始条件”满足时触发采集。移动、加速、减速、反向均不得作为拟合数据。状态列可由操作员填写，也可在后续接入机器人接口后自动更新。</x:v>
      </x:c>
      <x:c r="M2" s="8" t="str">
        <x:v>机械臂仅在“开始条件”满足时触发采集。移动、加速、减速、反向均不得作为拟合数据。状态列可由操作员填写，也可在后续接入机器人接口后自动更新。</x:v>
      </x:c>
      <x:c r="N2" s="8" t="str">
        <x:v>机械臂仅在“开始条件”满足时触发采集。移动、加速、减速、反向均不得作为拟合数据。状态列可由操作员填写，也可在后续接入机器人接口后自动更新。</x:v>
      </x:c>
      <x:c r="O2" s="8" t="str">
        <x:v>机械臂仅在“开始条件”满足时触发采集。移动、加速、减速、反向均不得作为拟合数据。状态列可由操作员填写，也可在后续接入机器人接口后自动更新。</x:v>
      </x:c>
      <x:c r="P2" s="8" t="str">
        <x:v>机械臂仅在“开始条件”满足时触发采集。移动、加速、减速、反向均不得作为拟合数据。状态列可由操作员填写，也可在后续接入机器人接口后自动更新。</x:v>
      </x:c>
    </x:row>
    <x:row r="4" ht="22" customHeight="1">
      <x:c r="A4" s="11" t="str">
        <x:v>所有时间单位为秒；J 列为公式汇总，可按实际机械臂节拍调整 F:I 列。 </x:v>
      </x:c>
      <x:c r="B4" s="11" t="str">
        <x:v>所有时间单位为秒；J 列为公式汇总，可按实际机械臂节拍调整 F:I 列。 </x:v>
      </x:c>
      <x:c r="C4" s="11" t="str">
        <x:v>所有时间单位为秒；J 列为公式汇总，可按实际机械臂节拍调整 F:I 列。 </x:v>
      </x:c>
      <x:c r="D4" s="11" t="str">
        <x:v>所有时间单位为秒；J 列为公式汇总，可按实际机械臂节拍调整 F:I 列。 </x:v>
      </x:c>
      <x:c r="E4" s="11" t="str">
        <x:v>所有时间单位为秒；J 列为公式汇总，可按实际机械臂节拍调整 F:I 列。 </x:v>
      </x:c>
      <x:c r="F4" s="11" t="str">
        <x:v>所有时间单位为秒；J 列为公式汇总，可按实际机械臂节拍调整 F:I 列。 </x:v>
      </x:c>
      <x:c r="G4" s="11" t="str">
        <x:v>所有时间单位为秒；J 列为公式汇总，可按实际机械臂节拍调整 F:I 列。 </x:v>
      </x:c>
      <x:c r="H4" s="11" t="str">
        <x:v>所有时间单位为秒；J 列为公式汇总，可按实际机械臂节拍调整 F:I 列。 </x:v>
      </x:c>
      <x:c r="I4" s="11" t="str">
        <x:v>所有时间单位为秒；J 列为公式汇总，可按实际机械臂节拍调整 F:I 列。 </x:v>
      </x:c>
      <x:c r="J4" s="11" t="str">
        <x:v>所有时间单位为秒；J 列为公式汇总，可按实际机械臂节拍调整 F:I 列。 </x:v>
      </x:c>
      <x:c r="K4" s="11" t="str">
        <x:v>所有时间单位为秒；J 列为公式汇总，可按实际机械臂节拍调整 F:I 列。 </x:v>
      </x:c>
      <x:c r="L4" s="11" t="str">
        <x:v>所有时间单位为秒；J 列为公式汇总，可按实际机械臂节拍调整 F:I 列。 </x:v>
      </x:c>
      <x:c r="M4" s="11" t="str">
        <x:v>所有时间单位为秒；J 列为公式汇总，可按实际机械臂节拍调整 F:I 列。 </x:v>
      </x:c>
      <x:c r="N4" s="11" t="str">
        <x:v>所有时间单位为秒；J 列为公式汇总，可按实际机械臂节拍调整 F:I 列。 </x:v>
      </x:c>
      <x:c r="O4" s="11" t="str">
        <x:v>所有时间单位为秒；J 列为公式汇总，可按实际机械臂节拍调整 F:I 列。 </x:v>
      </x:c>
      <x:c r="P4" s="11" t="str">
        <x:v>所有时间单位为秒；J 列为公式汇总，可按实际机械臂节拍调整 F:I 列。 </x:v>
      </x:c>
    </x:row>
    <x:row r="6" ht="30" customHeight="1">
      <x:c r="A6" s="47" t="str">
        <x:v>序号</x:v>
      </x:c>
      <x:c r="B6" s="47" t="str">
        <x:v>阶段</x:v>
      </x:c>
      <x:c r="C6" s="47" t="str">
        <x:v>动作名称</x:v>
      </x:c>
      <x:c r="D6" s="47" t="str">
        <x:v>机械臂目标 / 控制动作</x:v>
      </x:c>
      <x:c r="E6" s="47" t="str">
        <x:v>开始条件</x:v>
      </x:c>
      <x:c r="F6" s="47" t="str">
        <x:v>移动/预置
(s)</x:v>
      </x:c>
      <x:c r="G6" s="47" t="str">
        <x:v>稳定/加速
(s)</x:v>
      </x:c>
      <x:c r="H6" s="47" t="str">
        <x:v>采集
(s)</x:v>
      </x:c>
      <x:c r="I6" s="47" t="str">
        <x:v>退出/停止
(s)</x:v>
      </x:c>
      <x:c r="J6" s="47" t="str">
        <x:v>单步总时长
(s)</x:v>
      </x:c>
      <x:c r="K6" s="47" t="str">
        <x:v>工站阶段码</x:v>
      </x:c>
      <x:c r="L6" s="47" t="str">
        <x:v>上位机动作</x:v>
      </x:c>
      <x:c r="M6" s="47" t="str">
        <x:v>记录的数据</x:v>
      </x:c>
      <x:c r="N6" s="47" t="str">
        <x:v>通过条件</x:v>
      </x:c>
      <x:c r="O6" s="47" t="str">
        <x:v>执行状态</x:v>
      </x:c>
      <x:c r="P6" s="47" t="str">
        <x:v>备注</x:v>
      </x:c>
    </x:row>
    <x:row r="7" ht="42" customHeight="1">
      <x:c r="A7" s="78" t="str">
        <x:v>P0</x:v>
      </x:c>
      <x:c r="B7" s="84" t="str">
        <x:v>准备</x:v>
      </x:c>
      <x:c r="C7" s="68" t="str">
        <x:v>设备与夹具检查</x:v>
      </x:c>
      <x:c r="D7" s="68" t="str">
        <x:v>机械臂停在安全位；夹具锁紧；确认线束无拉扯和卡滞</x:v>
      </x:c>
      <x:c r="E7" s="68" t="str">
        <x:v>设备已连接；11 路原始 IMU 在线</x:v>
      </x:c>
      <x:c r="F7" s="90" t="n">
        <x:v>30</x:v>
      </x:c>
      <x:c r="G7" s="90" t="n">
        <x:v>0</x:v>
      </x:c>
      <x:c r="H7" s="90" t="n">
        <x:v>0</x:v>
      </x:c>
      <x:c r="I7" s="90" t="n">
        <x:v>0</x:v>
      </x:c>
      <x:c r="J7" s="97" t="n">
        <x:f>SUM(F7:I7)</x:f>
        <x:v>30</x:v>
      </x:c>
      <x:c r="K7" s="68" t="str">
        <x:v>—</x:v>
      </x:c>
      <x:c r="L7" s="68" t="str">
        <x:v>查询固件、检查 type=9/type=11 在线掩码</x:v>
      </x:c>
      <x:c r="M7" s="68" t="str">
        <x:v>在线掩码、固件版本、产品 SN、工位</x:v>
      </x:c>
      <x:c r="N7" s="68" t="str">
        <x:v>11 路在线；使用工厂固件；夹具无滑动</x:v>
      </x:c>
      <x:c r="O7" s="68" t="str">
        <x:v>未开始</x:v>
      </x:c>
      <x:c r="P7" s="69" t="str">
        <x:v>不采样</x:v>
      </x:c>
    </x:row>
    <x:row r="8" ht="42" customHeight="1">
      <x:c r="A8" s="79" t="str">
        <x:v>P1</x:v>
      </x:c>
      <x:c r="B8" s="50" t="str">
        <x:v>静止基线</x:v>
      </x:c>
      <x:c r="C8" s="14" t="str">
        <x:v>30 秒静止</x:v>
      </x:c>
      <x:c r="D8" s="14" t="str">
        <x:v>机械臂保持中性姿态，夹具与手套完全静止</x:v>
      </x:c>
      <x:c r="E8" s="14" t="str">
        <x:v>静置至少 2 秒；无振动</x:v>
      </x:c>
      <x:c r="F8" s="91" t="n">
        <x:v>0</x:v>
      </x:c>
      <x:c r="G8" s="91" t="n">
        <x:v>2</x:v>
      </x:c>
      <x:c r="H8" s="91" t="n">
        <x:v>30</x:v>
      </x:c>
      <x:c r="I8" s="91" t="n">
        <x:v>0</x:v>
      </x:c>
      <x:c r="J8" s="98" t="n">
        <x:f>SUM(F8:I8)</x:f>
        <x:v>32</x:v>
      </x:c>
      <x:c r="K8" s="14" t="str">
        <x:v>​0x01</x:v>
      </x:c>
      <x:c r="L8" s="14" t="str">
        <x:v>开始工厂会话；记录基线</x:v>
      </x:c>
      <x:c r="M8" s="14" t="str">
        <x:v>11 路 Gyro/Acc 原始值；掌心磁 SET/RESET</x:v>
      </x:c>
      <x:c r="N8" s="14" t="str">
        <x:v>陀螺无明显跳变；原始流连续</x:v>
      </x:c>
      <x:c r="O8" s="14" t="str">
        <x:v>未开始</x:v>
      </x:c>
      <x:c r="P8" s="71" t="str">
        <x:v>用于零偏基线</x:v>
      </x:c>
    </x:row>
    <x:row r="9" ht="42" customHeight="1">
      <x:c r="A9" s="79" t="str">
        <x:v>A01</x:v>
      </x:c>
      <x:c r="B9" s="50" t="str">
        <x:v>六面</x:v>
      </x:c>
      <x:c r="C9" s="14" t="str">
        <x:v>+X 面</x:v>
      </x:c>
      <x:c r="D9" s="14" t="str">
        <x:v>重力投影到夹具 +X；到位后保持不动</x:v>
      </x:c>
      <x:c r="E9" s="14" t="str">
        <x:v>机器人到位</x:v>
      </x:c>
      <x:c r="F9" s="91" t="n">
        <x:v>3</x:v>
      </x:c>
      <x:c r="G9" s="91" t="n">
        <x:v>2</x:v>
      </x:c>
      <x:c r="H9" s="91" t="n">
        <x:v>3</x:v>
      </x:c>
      <x:c r="I9" s="91" t="n">
        <x:v>0</x:v>
      </x:c>
      <x:c r="J9" s="98" t="n">
        <x:f>SUM(F9:I9)</x:f>
        <x:v>8</x:v>
      </x:c>
      <x:c r="K9" s="14" t="str">
        <x:v>​0x10</x:v>
      </x:c>
      <x:c r="L9" s="14" t="str">
        <x:v>标记阶段并采集</x:v>
      </x:c>
      <x:c r="M9" s="14" t="str">
        <x:v>11 路 Acc/Gyro 原始数据</x:v>
      </x:c>
      <x:c r="N9" s="14" t="str">
        <x:v>采集期间机械臂零角速度</x:v>
      </x:c>
      <x:c r="O9" s="14" t="str">
        <x:v>未开始</x:v>
      </x:c>
      <x:c r="P9" s="71" t="str">
        <x:v>移动过程不采样</x:v>
      </x:c>
    </x:row>
    <x:row r="10" ht="42" customHeight="1">
      <x:c r="A10" s="79" t="str">
        <x:v>A02</x:v>
      </x:c>
      <x:c r="B10" s="50" t="str">
        <x:v>六面</x:v>
      </x:c>
      <x:c r="C10" s="14" t="str">
        <x:v>-X 面</x:v>
      </x:c>
      <x:c r="D10" s="14" t="str">
        <x:v>重力投影到夹具 -X；到位后保持不动</x:v>
      </x:c>
      <x:c r="E10" s="14" t="str">
        <x:v>机器人到位</x:v>
      </x:c>
      <x:c r="F10" s="91" t="n">
        <x:v>3</x:v>
      </x:c>
      <x:c r="G10" s="91" t="n">
        <x:v>2</x:v>
      </x:c>
      <x:c r="H10" s="91" t="n">
        <x:v>3</x:v>
      </x:c>
      <x:c r="I10" s="91" t="n">
        <x:v>0</x:v>
      </x:c>
      <x:c r="J10" s="98" t="n">
        <x:f>SUM(F10:I10)</x:f>
        <x:v>8</x:v>
      </x:c>
      <x:c r="K10" s="14" t="str">
        <x:v>​0x11</x:v>
      </x:c>
      <x:c r="L10" s="14" t="str">
        <x:v>标记阶段并采集</x:v>
      </x:c>
      <x:c r="M10" s="14" t="str">
        <x:v>11 路 Acc/Gyro 原始数据</x:v>
      </x:c>
      <x:c r="N10" s="14" t="str">
        <x:v>采集期间机械臂零角速度</x:v>
      </x:c>
      <x:c r="O10" s="14" t="str">
        <x:v>未开始</x:v>
      </x:c>
      <x:c r="P10" s="71" t="str">
        <x:v>移动过程不采样</x:v>
      </x:c>
    </x:row>
    <x:row r="11" ht="42" customHeight="1">
      <x:c r="A11" s="79" t="str">
        <x:v>A03</x:v>
      </x:c>
      <x:c r="B11" s="50" t="str">
        <x:v>六面</x:v>
      </x:c>
      <x:c r="C11" s="14" t="str">
        <x:v>+Y 面</x:v>
      </x:c>
      <x:c r="D11" s="14" t="str">
        <x:v>重力投影到夹具 +Y；到位后保持不动</x:v>
      </x:c>
      <x:c r="E11" s="14" t="str">
        <x:v>机器人到位</x:v>
      </x:c>
      <x:c r="F11" s="91" t="n">
        <x:v>3</x:v>
      </x:c>
      <x:c r="G11" s="91" t="n">
        <x:v>2</x:v>
      </x:c>
      <x:c r="H11" s="91" t="n">
        <x:v>3</x:v>
      </x:c>
      <x:c r="I11" s="91" t="n">
        <x:v>0</x:v>
      </x:c>
      <x:c r="J11" s="98" t="n">
        <x:f>SUM(F11:I11)</x:f>
        <x:v>8</x:v>
      </x:c>
      <x:c r="K11" s="14" t="str">
        <x:v>​0x12</x:v>
      </x:c>
      <x:c r="L11" s="14" t="str">
        <x:v>标记阶段并采集</x:v>
      </x:c>
      <x:c r="M11" s="14" t="str">
        <x:v>11 路 Acc/Gyro 原始数据</x:v>
      </x:c>
      <x:c r="N11" s="14" t="str">
        <x:v>采集期间机械臂零角速度</x:v>
      </x:c>
      <x:c r="O11" s="14" t="str">
        <x:v>未开始</x:v>
      </x:c>
      <x:c r="P11" s="71" t="str">
        <x:v>移动过程不采样</x:v>
      </x:c>
    </x:row>
    <x:row r="12" ht="42" customHeight="1">
      <x:c r="A12" s="79" t="str">
        <x:v>A04</x:v>
      </x:c>
      <x:c r="B12" s="50" t="str">
        <x:v>六面</x:v>
      </x:c>
      <x:c r="C12" s="14" t="str">
        <x:v>-Y 面</x:v>
      </x:c>
      <x:c r="D12" s="14" t="str">
        <x:v>重力投影到夹具 -Y；到位后保持不动</x:v>
      </x:c>
      <x:c r="E12" s="14" t="str">
        <x:v>机器人到位</x:v>
      </x:c>
      <x:c r="F12" s="91" t="n">
        <x:v>3</x:v>
      </x:c>
      <x:c r="G12" s="91" t="n">
        <x:v>2</x:v>
      </x:c>
      <x:c r="H12" s="91" t="n">
        <x:v>3</x:v>
      </x:c>
      <x:c r="I12" s="91" t="n">
        <x:v>0</x:v>
      </x:c>
      <x:c r="J12" s="98" t="n">
        <x:f>SUM(F12:I12)</x:f>
        <x:v>8</x:v>
      </x:c>
      <x:c r="K12" s="14" t="str">
        <x:v>​0x13</x:v>
      </x:c>
      <x:c r="L12" s="14" t="str">
        <x:v>标记阶段并采集</x:v>
      </x:c>
      <x:c r="M12" s="14" t="str">
        <x:v>11 路 Acc/Gyro 原始数据</x:v>
      </x:c>
      <x:c r="N12" s="14" t="str">
        <x:v>采集期间机械臂零角速度</x:v>
      </x:c>
      <x:c r="O12" s="14" t="str">
        <x:v>未开始</x:v>
      </x:c>
      <x:c r="P12" s="71" t="str">
        <x:v>移动过程不采样</x:v>
      </x:c>
    </x:row>
    <x:row r="13" ht="42" customHeight="1">
      <x:c r="A13" s="79" t="str">
        <x:v>A05</x:v>
      </x:c>
      <x:c r="B13" s="50" t="str">
        <x:v>六面</x:v>
      </x:c>
      <x:c r="C13" s="14" t="str">
        <x:v>+Z 面</x:v>
      </x:c>
      <x:c r="D13" s="14" t="str">
        <x:v>重力投影到夹具 +Z；到位后保持不动</x:v>
      </x:c>
      <x:c r="E13" s="14" t="str">
        <x:v>机器人到位</x:v>
      </x:c>
      <x:c r="F13" s="91" t="n">
        <x:v>3</x:v>
      </x:c>
      <x:c r="G13" s="91" t="n">
        <x:v>2</x:v>
      </x:c>
      <x:c r="H13" s="91" t="n">
        <x:v>3</x:v>
      </x:c>
      <x:c r="I13" s="91" t="n">
        <x:v>0</x:v>
      </x:c>
      <x:c r="J13" s="98" t="n">
        <x:f>SUM(F13:I13)</x:f>
        <x:v>8</x:v>
      </x:c>
      <x:c r="K13" s="14" t="str">
        <x:v>​0x14</x:v>
      </x:c>
      <x:c r="L13" s="14" t="str">
        <x:v>标记阶段并采集</x:v>
      </x:c>
      <x:c r="M13" s="14" t="str">
        <x:v>11 路 Acc/Gyro 原始数据</x:v>
      </x:c>
      <x:c r="N13" s="14" t="str">
        <x:v>采集期间机械臂零角速度</x:v>
      </x:c>
      <x:c r="O13" s="14" t="str">
        <x:v>未开始</x:v>
      </x:c>
      <x:c r="P13" s="71" t="str">
        <x:v>移动过程不采样</x:v>
      </x:c>
    </x:row>
    <x:row r="14" ht="42" customHeight="1">
      <x:c r="A14" s="79" t="str">
        <x:v>A06</x:v>
      </x:c>
      <x:c r="B14" s="50" t="str">
        <x:v>六面</x:v>
      </x:c>
      <x:c r="C14" s="14" t="str">
        <x:v>-Z 面</x:v>
      </x:c>
      <x:c r="D14" s="14" t="str">
        <x:v>重力投影到夹具 -Z；到位后保持不动</x:v>
      </x:c>
      <x:c r="E14" s="14" t="str">
        <x:v>机器人到位</x:v>
      </x:c>
      <x:c r="F14" s="91" t="n">
        <x:v>3</x:v>
      </x:c>
      <x:c r="G14" s="91" t="n">
        <x:v>2</x:v>
      </x:c>
      <x:c r="H14" s="91" t="n">
        <x:v>3</x:v>
      </x:c>
      <x:c r="I14" s="91" t="n">
        <x:v>0</x:v>
      </x:c>
      <x:c r="J14" s="98" t="n">
        <x:f>SUM(F14:I14)</x:f>
        <x:v>8</x:v>
      </x:c>
      <x:c r="K14" s="14" t="str">
        <x:v>​0x15</x:v>
      </x:c>
      <x:c r="L14" s="14" t="str">
        <x:v>标记阶段并采集</x:v>
      </x:c>
      <x:c r="M14" s="14" t="str">
        <x:v>11 路 Acc/Gyro 原始数据</x:v>
      </x:c>
      <x:c r="N14" s="14" t="str">
        <x:v>采集期间机械臂零角速度</x:v>
      </x:c>
      <x:c r="O14" s="14" t="str">
        <x:v>未开始</x:v>
      </x:c>
      <x:c r="P14" s="71" t="str">
        <x:v>移动过程不采样</x:v>
      </x:c>
    </x:row>
    <x:row r="15" ht="42" customHeight="1">
      <x:c r="A15" s="79" t="str">
        <x:v>G01</x:v>
      </x:c>
      <x:c r="B15" s="50" t="str">
        <x:v>陀螺</x:v>
      </x:c>
      <x:c r="C15" s="14" t="str">
        <x:v>+X（Yaw），15 deg/s（±45°）</x:v>
      </x:c>
      <x:c r="D15" s="14" t="str">
        <x:v>从 +X（Yaw）负向 45° 预置，匀速转至正向 45°；仅匀速平台记录 6 s，随后回 0° 中位</x:v>
      </x:c>
      <x:c r="E15" s="14" t="str">
        <x:v>实际速度稳定；无夹具滑动；Yaw 已在 0° 中位</x:v>
      </x:c>
      <x:c r="F15" s="91" t="n">
        <x:v>2</x:v>
      </x:c>
      <x:c r="G15" s="91" t="n">
        <x:v>1</x:v>
      </x:c>
      <x:c r="H15" s="91" t="n">
        <x:f>'限位参数'!$B$12/'限位参数'!$B$8</x:f>
        <x:v>6</x:v>
      </x:c>
      <x:c r="I15" s="91" t="n">
        <x:v>2</x:v>
      </x:c>
      <x:c r="J15" s="98" t="n">
        <x:f>SUM(F15:I15)</x:f>
        <x:v>11</x:v>
      </x:c>
      <x:c r="K15" s="14" t="str">
        <x:v>​0x20</x:v>
      </x:c>
      <x:c r="L15" s="14" t="str">
        <x:v>在匀速平台开始采集</x:v>
      </x:c>
      <x:c r="M15" s="14" t="str">
        <x:v>11 路 Gyro/Acc 原始值、实际角速度、+X（Yaw）位置</x:v>
      </x:c>
      <x:c r="N15" s="14" t="str">
        <x:v>不越过 ±45°；加速/减速/回中位不采样</x:v>
      </x:c>
      <x:c r="O15" s="14" t="str">
        <x:v>未开始</x:v>
      </x:c>
      <x:c r="P15" s="71" t="str">
        <x:v>+X 为本工位 Yaw 轴；直达 ±45°端点；回中位后再进入下一步</x:v>
      </x:c>
    </x:row>
    <x:row r="16" ht="42" customHeight="1">
      <x:c r="A16" s="79" t="str">
        <x:v>G02</x:v>
      </x:c>
      <x:c r="B16" s="50" t="str">
        <x:v>陀螺</x:v>
      </x:c>
      <x:c r="C16" s="14" t="str">
        <x:v>-X（Yaw），15 deg/s（±45°）</x:v>
      </x:c>
      <x:c r="D16" s="14" t="str">
        <x:v>从 +X（Yaw）正向 45° 预置，匀速转至负向 45°；仅匀速平台记录 6 s，随后回 0° 中位</x:v>
      </x:c>
      <x:c r="E16" s="14" t="str">
        <x:v>实际速度稳定；无夹具滑动；Yaw 已在 0° 中位</x:v>
      </x:c>
      <x:c r="F16" s="91" t="n">
        <x:v>2</x:v>
      </x:c>
      <x:c r="G16" s="91" t="n">
        <x:v>1</x:v>
      </x:c>
      <x:c r="H16" s="91" t="n">
        <x:f>'限位参数'!$B$12/'限位参数'!$B$8</x:f>
        <x:v>6</x:v>
      </x:c>
      <x:c r="I16" s="91" t="n">
        <x:v>2</x:v>
      </x:c>
      <x:c r="J16" s="98" t="n">
        <x:f>SUM(F16:I16)</x:f>
        <x:v>11</x:v>
      </x:c>
      <x:c r="K16" s="14" t="str">
        <x:v>​0x21</x:v>
      </x:c>
      <x:c r="L16" s="14" t="str">
        <x:v>在匀速平台开始采集</x:v>
      </x:c>
      <x:c r="M16" s="14" t="str">
        <x:v>11 路 Gyro/Acc 原始值、实际角速度、+X（Yaw）位置</x:v>
      </x:c>
      <x:c r="N16" s="14" t="str">
        <x:v>不越过 ±45°；加速/减速/回中位不采样</x:v>
      </x:c>
      <x:c r="O16" s="14" t="str">
        <x:v>未开始</x:v>
      </x:c>
      <x:c r="P16" s="71" t="str">
        <x:v>-X 为本工位 Yaw 轴；直达 ±45°端点；回中位后再进入下一步</x:v>
      </x:c>
    </x:row>
    <x:row r="17" ht="42" customHeight="1">
      <x:c r="A17" s="79" t="str">
        <x:v>G03</x:v>
      </x:c>
      <x:c r="B17" s="50" t="str">
        <x:v>陀螺</x:v>
      </x:c>
      <x:c r="C17" s="14" t="str">
        <x:v>+Y，15 deg/s</x:v>
      </x:c>
      <x:c r="D17" s="14" t="str">
        <x:v>从 Y 负向 75° 预置，匀速转至 Y 正向 75°；仅匀速平台记录，随后回 Y 中位</x:v>
      </x:c>
      <x:c r="E17" s="14" t="str">
        <x:v>实际速度稳定；无夹具滑动</x:v>
      </x:c>
      <x:c r="F17" s="91" t="n">
        <x:v>2</x:v>
      </x:c>
      <x:c r="G17" s="91" t="n">
        <x:v>1</x:v>
      </x:c>
      <x:c r="H17" s="91" t="n">
        <x:v>10</x:v>
      </x:c>
      <x:c r="I17" s="91" t="n">
        <x:v>2</x:v>
      </x:c>
      <x:c r="J17" s="98" t="n">
        <x:f>SUM(F17:I17)</x:f>
        <x:v>15</x:v>
      </x:c>
      <x:c r="K17" s="14" t="str">
        <x:v>​0x22</x:v>
      </x:c>
      <x:c r="L17" s="14" t="str">
        <x:v>在匀速平台开始采集</x:v>
      </x:c>
      <x:c r="M17" s="14" t="str">
        <x:v>11 路 Gyro/Acc 原始值、实际角速度</x:v>
      </x:c>
      <x:c r="N17" s="14" t="str">
        <x:v>加速/减速/回中位未进入采集窗口</x:v>
      </x:c>
      <x:c r="O17" s="14" t="str">
        <x:v>未开始</x:v>
      </x:c>
      <x:c r="P17" s="71" t="str">
        <x:v>不得累计转角；回中位后再进入下一步</x:v>
      </x:c>
    </x:row>
    <x:row r="18" ht="42" customHeight="1">
      <x:c r="A18" s="79" t="str">
        <x:v>G04</x:v>
      </x:c>
      <x:c r="B18" s="50" t="str">
        <x:v>陀螺</x:v>
      </x:c>
      <x:c r="C18" s="14" t="str">
        <x:v>-Y，15 deg/s</x:v>
      </x:c>
      <x:c r="D18" s="14" t="str">
        <x:v>从 Y 正向 75° 预置，匀速转至 Y 负向 75°；仅匀速平台记录，随后回 Y 中位</x:v>
      </x:c>
      <x:c r="E18" s="14" t="str">
        <x:v>实际速度稳定；无夹具滑动</x:v>
      </x:c>
      <x:c r="F18" s="91" t="n">
        <x:v>2</x:v>
      </x:c>
      <x:c r="G18" s="91" t="n">
        <x:v>1</x:v>
      </x:c>
      <x:c r="H18" s="91" t="n">
        <x:v>10</x:v>
      </x:c>
      <x:c r="I18" s="91" t="n">
        <x:v>2</x:v>
      </x:c>
      <x:c r="J18" s="98" t="n">
        <x:f>SUM(F18:I18)</x:f>
        <x:v>15</x:v>
      </x:c>
      <x:c r="K18" s="14" t="str">
        <x:v>​0x23</x:v>
      </x:c>
      <x:c r="L18" s="14" t="str">
        <x:v>在匀速平台开始采集</x:v>
      </x:c>
      <x:c r="M18" s="14" t="str">
        <x:v>11 路 Gyro/Acc 原始值、实际角速度</x:v>
      </x:c>
      <x:c r="N18" s="14" t="str">
        <x:v>加速/减速/回中位未进入采集窗口</x:v>
      </x:c>
      <x:c r="O18" s="14" t="str">
        <x:v>未开始</x:v>
      </x:c>
      <x:c r="P18" s="71" t="str">
        <x:v>不得累计转角；回中位后再进入下一步</x:v>
      </x:c>
    </x:row>
    <x:row r="19" ht="42" customHeight="1">
      <x:c r="A19" s="79" t="str">
        <x:v>G05</x:v>
      </x:c>
      <x:c r="B19" s="50" t="str">
        <x:v>陀螺</x:v>
      </x:c>
      <x:c r="C19" s="14" t="str">
        <x:v>+Z，15 deg/s</x:v>
      </x:c>
      <x:c r="D19" s="14" t="str">
        <x:v>从 Z 负向 75° 预置，匀速转至 Z 正向 75°；仅匀速平台记录，随后回 Z 中位</x:v>
      </x:c>
      <x:c r="E19" s="14" t="str">
        <x:v>实际速度稳定；无夹具滑动；Z 轴已在 0° 中位</x:v>
      </x:c>
      <x:c r="F19" s="91" t="n">
        <x:v>2</x:v>
      </x:c>
      <x:c r="G19" s="91" t="n">
        <x:v>1</x:v>
      </x:c>
      <x:c r="H19" s="91" t="n">
        <x:v>10</x:v>
      </x:c>
      <x:c r="I19" s="91" t="n">
        <x:v>2</x:v>
      </x:c>
      <x:c r="J19" s="98" t="n">
        <x:f>SUM(F19:I19)</x:f>
        <x:v>15</x:v>
      </x:c>
      <x:c r="K19" s="14" t="str">
        <x:v>​0x24</x:v>
      </x:c>
      <x:c r="L19" s="14" t="str">
        <x:v>在匀速平台开始采集</x:v>
      </x:c>
      <x:c r="M19" s="14" t="str">
        <x:v>11 路 Gyro/Acc 原始值、实际角速度</x:v>
      </x:c>
      <x:c r="N19" s="14" t="str">
        <x:v>加速/减速/回中位未进入采集窗口；Z 轴不越过 ±75°</x:v>
      </x:c>
      <x:c r="O19" s="14" t="str">
        <x:v>未开始</x:v>
      </x:c>
      <x:c r="P19" s="71" t="str">
        <x:v>不得累计转角；回中位后再进入下一步</x:v>
      </x:c>
    </x:row>
    <x:row r="20" ht="42" customHeight="1">
      <x:c r="A20" s="79" t="str">
        <x:v>G06</x:v>
      </x:c>
      <x:c r="B20" s="50" t="str">
        <x:v>陀螺</x:v>
      </x:c>
      <x:c r="C20" s="14" t="str">
        <x:v>-Z，15 deg/s</x:v>
      </x:c>
      <x:c r="D20" s="14" t="str">
        <x:v>从 Z 正向 75° 预置，匀速转至 Z 负向 75°；仅匀速平台记录，随后回 Z 中位</x:v>
      </x:c>
      <x:c r="E20" s="14" t="str">
        <x:v>实际速度稳定；无夹具滑动；Z 轴已在 0° 中位</x:v>
      </x:c>
      <x:c r="F20" s="91" t="n">
        <x:v>2</x:v>
      </x:c>
      <x:c r="G20" s="91" t="n">
        <x:v>1</x:v>
      </x:c>
      <x:c r="H20" s="91" t="n">
        <x:v>10</x:v>
      </x:c>
      <x:c r="I20" s="91" t="n">
        <x:v>2</x:v>
      </x:c>
      <x:c r="J20" s="98" t="n">
        <x:f>SUM(F20:I20)</x:f>
        <x:v>15</x:v>
      </x:c>
      <x:c r="K20" s="14" t="str">
        <x:v>​0x25</x:v>
      </x:c>
      <x:c r="L20" s="14" t="str">
        <x:v>在匀速平台开始采集</x:v>
      </x:c>
      <x:c r="M20" s="14" t="str">
        <x:v>11 路 Gyro/Acc 原始值、实际角速度</x:v>
      </x:c>
      <x:c r="N20" s="14" t="str">
        <x:v>加速/减速/回中位未进入采集窗口；Z 轴不越过 ±75°</x:v>
      </x:c>
      <x:c r="O20" s="14" t="str">
        <x:v>未开始</x:v>
      </x:c>
      <x:c r="P20" s="71" t="str">
        <x:v>不得累计转角；回中位后再进入下一步</x:v>
      </x:c>
    </x:row>
    <x:row r="21" ht="42" customHeight="1">
      <x:c r="A21" s="79" t="str">
        <x:v>M01</x:v>
      </x:c>
      <x:c r="B21" s="50" t="str">
        <x:v>磁翻转</x:v>
      </x:c>
      <x:c r="C21" s="14" t="str">
        <x:v>Roll/Pitch 三维覆盖 40 秒（Yaw 中位）</x:v>
      </x:c>
      <x:c r="D21" s="14" t="str">
        <x:v>Yaw 保持 0° 附近，仅用 Roll/Pitch 连续大角度翻转；不得单平面往复</x:v>
      </x:c>
      <x:c r="E21" s="14" t="str">
        <x:v>已确认磁环境稳定；SET/RESET 数据流正常；Yaw 在中位</x:v>
      </x:c>
      <x:c r="F21" s="91" t="n">
        <x:v>0</x:v>
      </x:c>
      <x:c r="G21" s="91" t="n">
        <x:v>0</x:v>
      </x:c>
      <x:c r="H21" s="91" t="n">
        <x:v>40</x:v>
      </x:c>
      <x:c r="I21" s="91" t="n">
        <x:v>0</x:v>
      </x:c>
      <x:c r="J21" s="98" t="n">
        <x:f>SUM(F21:I21)</x:f>
        <x:v>40</x:v>
      </x:c>
      <x:c r="K21" s="14" t="str">
        <x:v>​0x30</x:v>
      </x:c>
      <x:c r="L21" s="14" t="str">
        <x:v>标记 M01 并连续采集</x:v>
      </x:c>
      <x:c r="M21" s="14" t="str">
        <x:v>掌心磁场、SET/RESET 成对数据、11 路原始 IMU</x:v>
      </x:c>
      <x:c r="N21" s="14" t="str">
        <x:v>SET/RESET 连续；Roll/Pitch 均有正负向覆盖</x:v>
      </x:c>
      <x:c r="O21" s="14" t="str">
        <x:v>未开始</x:v>
      </x:c>
      <x:c r="P21" s="71" t="str">
        <x:v>全程避免机器人金属结构靠近传感器</x:v>
      </x:c>
    </x:row>
    <x:row r="22" ht="42" customHeight="1">
      <x:c r="A22" s="79" t="str">
        <x:v>M02</x:v>
      </x:c>
      <x:c r="B22" s="50" t="str">
        <x:v>磁翻转</x:v>
      </x:c>
      <x:c r="C22" s="14" t="str">
        <x:v>Yaw 正向摆动 10 秒（0°→正向安全位→0°）</x:v>
      </x:c>
      <x:c r="D22" s="14" t="str">
        <x:v>从 0° 中位缓慢摆向 Yaw 正向安全位，再回 0°；不得接近软限位</x:v>
      </x:c>
      <x:c r="E22" s="14" t="str">
        <x:v>M01 完成；限位参数 B14=通过</x:v>
      </x:c>
      <x:c r="F22" s="91" t="n">
        <x:v>0</x:v>
      </x:c>
      <x:c r="G22" s="91" t="n">
        <x:v>0</x:v>
      </x:c>
      <x:c r="H22" s="91" t="n">
        <x:v>10</x:v>
      </x:c>
      <x:c r="I22" s="91" t="n">
        <x:v>0</x:v>
      </x:c>
      <x:c r="J22" s="98" t="n">
        <x:f>SUM(F22:I22)</x:f>
        <x:v>10</x:v>
      </x:c>
      <x:c r="K22" s="14" t="str">
        <x:v>​0x31</x:v>
      </x:c>
      <x:c r="L22" s="14" t="str">
        <x:v>标记 M02 并连续采集</x:v>
      </x:c>
      <x:c r="M22" s="14" t="str">
        <x:v>掌心磁场、SET/RESET 成对数据、Yaw 位置</x:v>
      </x:c>
      <x:c r="N22" s="14" t="str">
        <x:v>Yaw 未越过 B11；有效 SET/RESET 连续</x:v>
      </x:c>
      <x:c r="O22" s="14" t="str">
        <x:v>未开始</x:v>
      </x:c>
      <x:c r="P22" s="71" t="str">
        <x:v>仅作单侧摆动；回中位后再进入 M03</x:v>
      </x:c>
    </x:row>
    <x:row r="23" ht="42" customHeight="1">
      <x:c r="A23" s="79" t="str">
        <x:v>M03</x:v>
      </x:c>
      <x:c r="B23" s="50" t="str">
        <x:v>磁翻转</x:v>
      </x:c>
      <x:c r="C23" s="14" t="str">
        <x:v>Yaw 负向摆动 10 秒（0°→负向安全位→0°）</x:v>
      </x:c>
      <x:c r="D23" s="14" t="str">
        <x:v>从 0° 中位缓慢摆向 Yaw 负向安全位，再回 0°；不得接近软限位</x:v>
      </x:c>
      <x:c r="E23" s="14" t="str">
        <x:v>M02 完成；Yaw 已回 0° 中位</x:v>
      </x:c>
      <x:c r="F23" s="91" t="n">
        <x:v>0</x:v>
      </x:c>
      <x:c r="G23" s="91" t="n">
        <x:v>0</x:v>
      </x:c>
      <x:c r="H23" s="91" t="n">
        <x:v>10</x:v>
      </x:c>
      <x:c r="I23" s="91" t="n">
        <x:v>0</x:v>
      </x:c>
      <x:c r="J23" s="98" t="n">
        <x:f>SUM(F23:I23)</x:f>
        <x:v>10</x:v>
      </x:c>
      <x:c r="K23" s="14" t="str">
        <x:v>​0x32</x:v>
      </x:c>
      <x:c r="L23" s="14" t="str">
        <x:v>标记 M03 并连续采集</x:v>
      </x:c>
      <x:c r="M23" s="14" t="str">
        <x:v>掌心磁场、SET/RESET 成对数据、Yaw 位置</x:v>
      </x:c>
      <x:c r="N23" s="14" t="str">
        <x:v>Yaw 未越过 B10；有效 SET/RESET 连续</x:v>
      </x:c>
      <x:c r="O23" s="14" t="str">
        <x:v>未开始</x:v>
      </x:c>
      <x:c r="P23" s="71" t="str">
        <x:v>仅作单侧摆动；回中位后再进入 M04</x:v>
      </x:c>
    </x:row>
    <x:row r="24" ht="42" customHeight="1">
      <x:c r="A24" s="79" t="str">
        <x:v>M04</x:v>
      </x:c>
      <x:c r="B24" s="50" t="str">
        <x:v>磁翻转</x:v>
      </x:c>
      <x:c r="C24" s="14" t="str">
        <x:v>Yaw 回中位并停止 5 秒</x:v>
      </x:c>
      <x:c r="D24" s="14" t="str">
        <x:v>确认 Yaw=0° 中位，机械臂停止且线束无受力</x:v>
      </x:c>
      <x:c r="E24" s="14" t="str">
        <x:v>M01-M03 完成；Yaw 已回中位</x:v>
      </x:c>
      <x:c r="F24" s="91" t="n">
        <x:v>0</x:v>
      </x:c>
      <x:c r="G24" s="91" t="n">
        <x:v>0</x:v>
      </x:c>
      <x:c r="H24" s="91" t="n">
        <x:v>0</x:v>
      </x:c>
      <x:c r="I24" s="91" t="n">
        <x:v>5</x:v>
      </x:c>
      <x:c r="J24" s="98" t="n">
        <x:f>SUM(F24:I24)</x:f>
        <x:v>5</x:v>
      </x:c>
      <x:c r="K24" s="14" t="str">
        <x:v>​0x33</x:v>
      </x:c>
      <x:c r="L24" s="14" t="str">
        <x:v>标记 M04，结束磁采集</x:v>
      </x:c>
      <x:c r="M24" s="14" t="str">
        <x:v>Yaw 中位状态、最后时间戳</x:v>
      </x:c>
      <x:c r="N24" s="14" t="str">
        <x:v>Yaw 中位确认；无软限位告警</x:v>
      </x:c>
      <x:c r="O24" s="14" t="str">
        <x:v>未开始</x:v>
      </x:c>
      <x:c r="P24" s="71" t="str">
        <x:v>不采样；作为安全收尾</x:v>
      </x:c>
    </x:row>
    <x:row r="25" ht="42" customHeight="1">
      <x:c r="A25" s="79" t="str">
        <x:v>S01</x:v>
      </x:c>
      <x:c r="B25" s="50" t="str">
        <x:v>提交</x:v>
      </x:c>
      <x:c r="C25" s="14" t="str">
        <x:v>求解并写入</x:v>
      </x:c>
      <x:c r="D25" s="14" t="str">
        <x:v>机械臂保持安全静止，禁止断电或拔线</x:v>
      </x:c>
      <x:c r="E25" s="14" t="str">
        <x:v>P1/A01-A06/G01-G06/M01-M04 全部完成</x:v>
      </x:c>
      <x:c r="F25" s="91" t="n">
        <x:v>0</x:v>
      </x:c>
      <x:c r="G25" s="91" t="n">
        <x:v>0</x:v>
      </x:c>
      <x:c r="H25" s="91" t="n">
        <x:v>0</x:v>
      </x:c>
      <x:c r="I25" s="91" t="n">
        <x:v>60</x:v>
      </x:c>
      <x:c r="J25" s="98" t="n">
        <x:f>SUM(F25:I25)</x:f>
        <x:v>60</x:v>
      </x:c>
      <x:c r="K25" s="14" t="str">
        <x:v>结束</x:v>
      </x:c>
      <x:c r="L25" s="14" t="str">
        <x:v>关闭会话、求解、写入 Flash、回读</x:v>
      </x:c>
      <x:c r="M25" s="14" t="str">
        <x:v>type=7 标定报告、写入 ACK</x:v>
      </x:c>
      <x:c r="N25" s="14" t="str">
        <x:v>11 路 Gyro、11 路 Acc 求解及 Flash 回读均通过</x:v>
      </x:c>
      <x:c r="O25" s="14" t="str">
        <x:v>未开始</x:v>
      </x:c>
      <x:c r="P25" s="71" t="str">
        <x:v>失败时不得覆盖已知合格参数</x:v>
      </x:c>
    </x:row>
    <x:row r="26" ht="42" customHeight="1">
      <x:c r="A26" s="79" t="str">
        <x:v>S02</x:v>
      </x:c>
      <x:c r="B26" s="50" t="str">
        <x:v>收尾</x:v>
      </x:c>
      <x:c r="C26" s="73" t="str">
        <x:v>回安全位与归档</x:v>
      </x:c>
      <x:c r="D26" s="73" t="str">
        <x:v>机械臂回安全位，可安全拆卸工件</x:v>
      </x:c>
      <x:c r="E26" s="73" t="str">
        <x:v>上位机显示通过或失败</x:v>
      </x:c>
      <x:c r="F26" s="91" t="n">
        <x:v>15</x:v>
      </x:c>
      <x:c r="G26" s="91" t="n">
        <x:v>0</x:v>
      </x:c>
      <x:c r="H26" s="91" t="n">
        <x:v>0</x:v>
      </x:c>
      <x:c r="I26" s="91" t="n">
        <x:v>0</x:v>
      </x:c>
      <x:c r="J26" s="98" t="n">
        <x:f>SUM(F26:I26)</x:f>
        <x:v>15</x:v>
      </x:c>
      <x:c r="K26" s="73" t="str">
        <x:v>—</x:v>
      </x:c>
      <x:c r="L26" s="73" t="str">
        <x:v>保存 CSV、session.json、result.json</x:v>
      </x:c>
      <x:c r="M26" s="73" t="str">
        <x:v>原始数据、阶段标记、结果文件</x:v>
      </x:c>
      <x:c r="N26" s="73" t="str">
        <x:v>记录目录完整，SN/工位可追溯</x:v>
      </x:c>
      <x:c r="O26" s="73" t="str">
        <x:v>未开始</x:v>
      </x:c>
      <x:c r="P26" s="74" t="str">
        <x:v>结束后再释放工件</x:v>
      </x:c>
    </x:row>
    <x:row r="27" ht="34" customHeight="1">
      <x:c r="A27" s="101" t="str">
        <x:v>总计（可调整 F:I 列及“限位参数”后自动重算）</x:v>
      </x:c>
      <x:c r="B27" s="101" t="str">
        <x:v>总计（可调整 F:I 列及“限位参数”后自动重算）</x:v>
      </x:c>
      <x:c r="C27" s="101" t="str">
        <x:v>总计（可调整 F:I 列及“限位参数”后自动重算）</x:v>
      </x:c>
      <x:c r="D27" s="101" t="str">
        <x:v>总计（可调整 F:I 列及“限位参数”后自动重算）</x:v>
      </x:c>
      <x:c r="E27" s="101" t="str">
        <x:v>总计（可调整 F:I 列及“限位参数”后自动重算）</x:v>
      </x:c>
      <x:c r="F27" s="101" t="str">
        <x:v>总计（可调整 F:I 列及“限位参数”后自动重算）</x:v>
      </x:c>
      <x:c r="G27" s="101" t="str">
        <x:v>总计（可调整 F:I 列及“限位参数”后自动重算）</x:v>
      </x:c>
      <x:c r="H27" s="101" t="str">
        <x:v>总计（可调整 F:I 列及“限位参数”后自动重算）</x:v>
      </x:c>
      <x:c r="I27" s="101" t="str">
        <x:v>总计（可调整 F:I 列及“限位参数”后自动重算）</x:v>
      </x:c>
      <x:c r="J27" s="23" t="n">
        <x:f>SUM(J7:J26)</x:f>
        <x:v>332</x:v>
      </x:c>
      <x:c r="K27" s="101" t="str">
        <x:v>预估总时长包括检查、采集、提交与回安全位；不含人工装夹和重试。X（Yaw）G01/G02 按 ±45°、15 deg/s 自动重算为 6 s 有效采集；Y/Z 的 G03-G06 均为 ±75°、15 deg/s、10 s 匀速采集。</x:v>
      </x:c>
      <x:c r="L27" s="101" t="str">
        <x:v>预估总时长包括检查、采集、提交与回安全位；不含人工装夹和重试。Yaw 的 G05/G06 时长随安全限位自动重算。</x:v>
      </x:c>
      <x:c r="M27" s="101" t="str">
        <x:v>预估总时长包括检查、采集、提交与回安全位；不含人工装夹和重试。Yaw 的 G05/G06 时长随安全限位自动重算。</x:v>
      </x:c>
      <x:c r="N27" s="101" t="str">
        <x:v>预估总时长包括检查、采集、提交与回安全位；不含人工装夹和重试。Yaw 的 G05/G06 时长随安全限位自动重算。</x:v>
      </x:c>
      <x:c r="O27" s="101" t="str">
        <x:v>预估总时长包括检查、采集、提交与回安全位；不含人工装夹和重试。Yaw 的 G05/G06 时长随安全限位自动重算。</x:v>
      </x:c>
      <x:c r="P27" s="101" t="str">
        <x:v>预估总时长包括检查、采集、提交与回安全位；不含人工装夹和重试。Yaw 的 G05/G06 时长随安全限位自动重算。</x:v>
      </x:c>
    </x:row>
  </x:sheetData>
  <x:mergeCells>
    <x:mergeCell ref="A1:P1"/>
    <x:mergeCell ref="A2:P2"/>
    <x:mergeCell ref="A4:P4"/>
    <x:mergeCell ref="A27:I27"/>
    <x:mergeCell ref="K27:P27"/>
  </x:mergeCells>
  <x:conditionalFormatting sqref="O7:O26">
    <x:cfRule type="containsText" dxfId="0" priority="1" operator="containsText" text="完成"/>
    <x:cfRule type="containsText" dxfId="1" priority="2" operator="containsText" text="需重试"/>
    <x:cfRule type="containsText" dxfId="2" priority="3" operator="containsText" text="失败"/>
  </x:conditionalFormatting>
  <x:dataValidations count="1">
    <x:dataValidation type="list" sqref="O7:O26">
      <x:formula1>"未开始,进行中,完成,需重试,失败"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0" hidden="0" customWidth="1"/>
    <x:col min="4" max="4" width="34" hidden="0" customWidth="1"/>
    <x:col min="5" max="5" width="30" hidden="0" customWidth="1"/>
    <x:col min="6" max="6" width="28" hidden="0" customWidth="1"/>
  </x:cols>
  <x:sheetData>
    <x:row r="1" ht="28" customHeight="1">
      <x:c r="A1" s="5" t="str">
        <x:v>机械臂—上位机握手与安全条件</x:v>
      </x:c>
      <x:c r="B1" s="5" t="str">
        <x:v>机械臂—上位机握手与安全条件</x:v>
      </x:c>
      <x:c r="C1" s="5" t="str">
        <x:v>机械臂—上位机握手与安全条件</x:v>
      </x:c>
      <x:c r="D1" s="5" t="str">
        <x:v>机械臂—上位机握手与安全条件</x:v>
      </x:c>
      <x:c r="E1" s="5" t="str">
        <x:v>机械臂—上位机握手与安全条件</x:v>
      </x:c>
      <x:c r="F1" s="5" t="str">
        <x:v>机械臂—上位机握手与安全条件</x:v>
      </x:c>
    </x:row>
    <x:row r="2" ht="28" customHeight="1">
      <x:c r="A2" s="8" t="str">
        <x:v>以下为建议的逻辑事件，可映射到具体机器人控制器的 TCP、SDK、IO 或现场总线协议。未提供机器人型号前，不固定实际报文格式。</x:v>
      </x:c>
      <x:c r="B2" s="8" t="str">
        <x:v>以下为建议的逻辑事件，可映射到具体机器人控制器的 TCP、SDK、IO 或现场总线协议。未提供机器人型号前，不固定实际报文格式。</x:v>
      </x:c>
      <x:c r="C2" s="8" t="str">
        <x:v>以下为建议的逻辑事件，可映射到具体机器人控制器的 TCP、SDK、IO 或现场总线协议。未提供机器人型号前，不固定实际报文格式。</x:v>
      </x:c>
      <x:c r="D2" s="8" t="str">
        <x:v>以下为建议的逻辑事件，可映射到具体机器人控制器的 TCP、SDK、IO 或现场总线协议。未提供机器人型号前，不固定实际报文格式。</x:v>
      </x:c>
      <x:c r="E2" s="8" t="str">
        <x:v>以下为建议的逻辑事件，可映射到具体机器人控制器的 TCP、SDK、IO 或现场总线协议。未提供机器人型号前，不固定实际报文格式。</x:v>
      </x:c>
      <x:c r="F2" s="8" t="str">
        <x:v>以下为建议的逻辑事件，可映射到具体机器人控制器的 TCP、SDK、IO 或现场总线协议。未提供机器人型号前，不固定实际报文格式。</x:v>
      </x:c>
    </x:row>
    <x:row r="4" ht="30" customHeight="1">
      <x:c r="A4" s="47" t="str">
        <x:v>顺序</x:v>
      </x:c>
      <x:c r="B4" s="47" t="str">
        <x:v>发送方</x:v>
      </x:c>
      <x:c r="C4" s="47" t="str">
        <x:v>建议事件</x:v>
      </x:c>
      <x:c r="D4" s="47" t="str">
        <x:v>要做的事</x:v>
      </x:c>
      <x:c r="E4" s="47" t="str">
        <x:v>必要字段</x:v>
      </x:c>
      <x:c r="F4" s="47" t="str">
        <x:v>超时/失败处理</x:v>
      </x:c>
    </x:row>
    <x:row r="5" ht="38" customHeight="1">
      <x:c r="A5" s="110" t="n">
        <x:v>1</x:v>
      </x:c>
      <x:c r="B5" s="82" t="str">
        <x:v>上位机</x:v>
      </x:c>
      <x:c r="C5" s="82" t="str">
        <x:v>SESSION_START</x:v>
      </x:c>
      <x:c r="D5" s="68" t="str">
        <x:v>确认固件、11 路在线、SN 和工位后创建记录目录</x:v>
      </x:c>
      <x:c r="E5" s="68" t="str">
        <x:v>产品 SN、工位、会话 ID</x:v>
      </x:c>
      <x:c r="F5" s="69" t="str">
        <x:v>任一检查失败：不启动会话</x:v>
      </x:c>
    </x:row>
    <x:row r="6" ht="38" customHeight="1">
      <x:c r="A6" s="111" t="n">
        <x:v>2</x:v>
      </x:c>
      <x:c r="B6" s="49" t="str">
        <x:v>机械臂</x:v>
      </x:c>
      <x:c r="C6" s="49" t="str">
        <x:v>READY</x:v>
      </x:c>
      <x:c r="D6" s="14" t="str">
        <x:v>回安全位，确认夹具锁紧和线束安全</x:v>
      </x:c>
      <x:c r="E6" s="14" t="str">
        <x:v>安全位、夹具状态、故障码</x:v>
      </x:c>
      <x:c r="F6" s="71" t="str">
        <x:v>未就绪：保持安全位</x:v>
      </x:c>
    </x:row>
    <x:row r="7" ht="38" customHeight="1">
      <x:c r="A7" s="111" t="n">
        <x:v>3</x:v>
      </x:c>
      <x:c r="B7" s="49" t="str">
        <x:v>上位机</x:v>
      </x:c>
      <x:c r="C7" s="49" t="str">
        <x:v>MOVE_STEP</x:v>
      </x:c>
      <x:c r="D7" s="14" t="str">
        <x:v>下发当前动作清单中的序号和动作要求</x:v>
      </x:c>
      <x:c r="E7" s="14" t="str">
        <x:v>步骤号、阶段码、目标姿态/速度</x:v>
      </x:c>
      <x:c r="F7" s="71" t="str">
        <x:v>通讯失败：暂停，不进入采集</x:v>
      </x:c>
    </x:row>
    <x:row r="8" ht="38" customHeight="1">
      <x:c r="A8" s="111" t="n">
        <x:v>4</x:v>
      </x:c>
      <x:c r="B8" s="49" t="str">
        <x:v>机械臂</x:v>
      </x:c>
      <x:c r="C8" s="49" t="str">
        <x:v>IN_POSITION</x:v>
      </x:c>
      <x:c r="D8" s="14" t="str">
        <x:v>静态动作到位；或陀螺仪达到稳定匀速</x:v>
      </x:c>
      <x:c r="E8" s="14" t="str">
        <x:v>实际 TCP、实际角速度、时间戳</x:v>
      </x:c>
      <x:c r="F8" s="71" t="str">
        <x:v>超时：标记需重试</x:v>
      </x:c>
    </x:row>
    <x:row r="9" ht="38" customHeight="1">
      <x:c r="A9" s="111" t="n">
        <x:v>5</x:v>
      </x:c>
      <x:c r="B9" s="49" t="str">
        <x:v>上位机</x:v>
      </x:c>
      <x:c r="C9" s="49" t="str">
        <x:v>CAPTURE_START</x:v>
      </x:c>
      <x:c r="D9" s="14" t="str">
        <x:v>发送工站阶段标记并开始定时采集</x:v>
      </x:c>
      <x:c r="E9" s="14" t="str">
        <x:v>阶段码、采集秒数、会话 ID</x:v>
      </x:c>
      <x:c r="F9" s="71" t="str">
        <x:v>原始流中断：立即放弃当前动作</x:v>
      </x:c>
    </x:row>
    <x:row r="10" ht="38" customHeight="1">
      <x:c r="A10" s="111" t="n">
        <x:v>6</x:v>
      </x:c>
      <x:c r="B10" s="49" t="str">
        <x:v>机械臂</x:v>
      </x:c>
      <x:c r="C10" s="49" t="str">
        <x:v>HOLD / CONSTANT_RATE</x:v>
      </x:c>
      <x:c r="D10" s="14" t="str">
        <x:v>静态时保持不动；旋转时保持匀速平台</x:v>
      </x:c>
      <x:c r="E10" s="14" t="str">
        <x:v>实际速度、到位状态</x:v>
      </x:c>
      <x:c r="F10" s="71" t="str">
        <x:v>速度异常：当前动作需重试</x:v>
      </x:c>
    </x:row>
    <x:row r="11" ht="38" customHeight="1">
      <x:c r="A11" s="111" t="n">
        <x:v>7</x:v>
      </x:c>
      <x:c r="B11" s="49" t="str">
        <x:v>上位机</x:v>
      </x:c>
      <x:c r="C11" s="49" t="str">
        <x:v>CAPTURE_DONE</x:v>
      </x:c>
      <x:c r="D11" s="14" t="str">
        <x:v>采集结束，写入阶段完成标记</x:v>
      </x:c>
      <x:c r="E11" s="14" t="str">
        <x:v>步骤号、完成时间</x:v>
      </x:c>
      <x:c r="F11" s="71" t="str">
        <x:v>数据完整后才允许下一步</x:v>
      </x:c>
    </x:row>
    <x:row r="12" ht="38" customHeight="1">
      <x:c r="A12" s="111" t="n">
        <x:v>8</x:v>
      </x:c>
      <x:c r="B12" s="49" t="str">
        <x:v>任一方</x:v>
      </x:c>
      <x:c r="C12" s="49" t="str">
        <x:v>ABORT / FAULT</x:v>
      </x:c>
      <x:c r="D12" s="14" t="str">
        <x:v>急停、夹具滑动、通信中断或供电异常时立即中止</x:v>
      </x:c>
      <x:c r="E12" s="14" t="str">
        <x:v>故障码、步骤号、时间</x:v>
      </x:c>
      <x:c r="F12" s="71" t="str">
        <x:v>发送 MCAL_ABORT；不写入参数</x:v>
      </x:c>
    </x:row>
    <x:row r="13" ht="38" customHeight="1">
      <x:c r="A13" s="111" t="n">
        <x:v>9</x:v>
      </x:c>
      <x:c r="B13" s="49" t="str">
        <x:v>上位机</x:v>
      </x:c>
      <x:c r="C13" s="49" t="str">
        <x:v>SOLVE_AND_STORE</x:v>
      </x:c>
      <x:c r="D13" s="73" t="str">
        <x:v>全部门槛通过后求解、写入 Flash 并回读</x:v>
      </x:c>
      <x:c r="E13" s="73" t="str">
        <x:v>会话 ID、质量结果</x:v>
      </x:c>
      <x:c r="F13" s="74" t="str">
        <x:v>失败：保留设备旧参数</x:v>
      </x:c>
    </x:row>
    <x:row r="15" ht="22" customHeight="1">
      <x:c r="A15" s="11" t="str">
        <x:v>必须遵守的安全与数据原则</x:v>
      </x:c>
      <x:c r="B15" s="11" t="str">
        <x:v>陀螺动作：Roll/Pitch 仅在 -75°→+75° 的 15 deg/s 匀速段采集，完整扫描记录 10 秒；Yaw 的采集时间和安全位必须按“限位参数”计算。</x:v>
      </x:c>
      <x:c r="C15" s="11" t="str">
        <x:v>必须遵守的安全与数据原则</x:v>
      </x:c>
      <x:c r="D15" s="11" t="str">
        <x:v>必须遵守的安全与数据原则</x:v>
      </x:c>
      <x:c r="E15" s="11" t="str">
        <x:v>必须遵守的安全与数据原则</x:v>
      </x:c>
      <x:c r="F15" s="11" t="str">
        <x:v>必须遵守的安全与数据原则</x:v>
      </x:c>
    </x:row>
    <x:row r="16" ht="38" customHeight="1">
      <x:c r="A16" s="28" t="str">
        <x:v>1</x:v>
      </x:c>
      <x:c r="B16" s="14" t="str">
        <x:v>静态六面动作：机械臂到位后先稳定 2 秒，再由上位机记录 3 秒；移动过程不能进入数据文件。</x:v>
      </x:c>
      <x:c r="C16" s="14" t="str"/>
      <x:c r="D16" s="14" t="str"/>
      <x:c r="E16" s="14" t="str"/>
      <x:c r="F16" s="14" t="str"/>
    </x:row>
    <x:row r="17" ht="54" customHeight="1">
      <x:c r="A17" s="28" t="str">
        <x:v>2</x:v>
      </x:c>
      <x:c r="B17" s="14" t="str">
        <x:v>陀螺动作：Y、Z 轴均在中位附近 -75°→+75° 的 15 deg/s 匀速平台采集 10 s；Yaw（+X/-X）在 -45°→+45° 的 15 deg/s 匀速平台采集 6 s。移动、加减速、反向与回中位不采样；执行前确认控制器允许端点指令。</x:v>
      </x:c>
      <x:c r="C17" s="14" t="str"/>
      <x:c r="D17" s="14" t="str"/>
      <x:c r="E17" s="14" t="str"/>
      <x:c r="F17" s="14" t="str"/>
    </x:row>
    <x:row r="18" ht="38" customHeight="1">
      <x:c r="A18" s="28" t="str">
        <x:v>3</x:v>
      </x:c>
      <x:c r="B18" s="14" t="str">
        <x:v>Yaw 原则：从 0° 中位进入，到一侧安全位后必须回 0°；严禁连续累计转角，也不得按 360° 旋转假设编程。</x:v>
      </x:c>
      <x:c r="C18" s="14" t="str"/>
      <x:c r="D18" s="14" t="str"/>
      <x:c r="E18" s="14" t="str"/>
      <x:c r="F18" s="14" t="str"/>
    </x:row>
    <x:row r="19" ht="38" customHeight="1">
      <x:c r="A19" s="28" t="str">
        <x:v>4</x:v>
      </x:c>
      <x:c r="B19" s="14" t="str">
        <x:v>磁翻转：40 秒 Roll/Pitch 覆盖 + 10 秒 Yaw 正向摆动 + 10 秒 Yaw 负向摆动；每段 Yaw 动作均回中位。磁环境变化必须停止并重试。</x:v>
      </x:c>
      <x:c r="C19" s="14" t="str"/>
      <x:c r="D19" s="14" t="str"/>
      <x:c r="E19" s="14" t="str"/>
      <x:c r="F19" s="14" t="str"/>
    </x:row>
    <x:row r="20" ht="38" customHeight="1">
      <x:c r="A20" s="28" t="str">
        <x:v>5</x:v>
      </x:c>
      <x:c r="B20" s="14" t="str">
        <x:v>写入前必须满足：11 路在线、全部动作完成、SET/RESET 有效数据足够、三轴磁覆盖合格。</x:v>
      </x:c>
      <x:c r="C20" s="14" t="str"/>
      <x:c r="D20" s="14" t="str"/>
      <x:c r="E20" s="14" t="str"/>
      <x:c r="F20" s="14" t="str"/>
    </x:row>
    <x:row r="21" ht="38" customHeight="1">
      <x:c r="A21" s="28" t="str">
        <x:v>6</x:v>
      </x:c>
      <x:c r="B21" s="14" t="str">
        <x:v>当前表中的事件名是接口合同草案；确认机械臂型号后再固化为实际 TCP/SDK 指令。</x:v>
      </x:c>
      <x:c r="C21" s="14" t="str"/>
      <x:c r="D21" s="14" t="str"/>
      <x:c r="E21" s="14" t="str"/>
      <x:c r="F21" s="14" t="str"/>
    </x:row>
  </x:sheetData>
  <x:mergeCells>
    <x:mergeCell ref="A1:F1"/>
    <x:mergeCell ref="A2:F2"/>
    <x:mergeCell ref="A15:F15"/>
    <x:mergeCell ref="B16:F16"/>
    <x:mergeCell ref="B17:F17"/>
    <x:mergeCell ref="B18:F18"/>
    <x:mergeCell ref="B19:F19"/>
    <x:mergeCell ref="B20:F20"/>
    <x:mergeCell ref="B21:F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0" hidden="0" customWidth="1"/>
    <x:col min="3" max="3" width="56" hidden="0" customWidth="1"/>
  </x:cols>
  <x:sheetData>
    <x:row r="1" ht="28" customHeight="1">
      <x:c r="A1" s="5" t="str">
        <x:v>QuickCal V1 机械臂 +X/-X（Yaw）限位参数</x:v>
      </x:c>
      <x:c r="B1" s="5" t="str">
        <x:v>QuickCal V1 机械臂限位参数</x:v>
      </x:c>
      <x:c r="C1" s="5" t="str">
        <x:v>QuickCal V1 机械臂限位参数</x:v>
      </x:c>
      <x:c r="D1" s="5" t="str">
        <x:v>QuickCal V1 机械臂限位参数</x:v>
      </x:c>
      <x:c r="E1" s="5" t="str">
        <x:v>QuickCal V1 机械臂限位参数</x:v>
      </x:c>
      <x:c r="F1" s="5" t="str">
        <x:v>QuickCal V1 机械臂限位参数</x:v>
      </x:c>
    </x:row>
    <x:row r="2" ht="32" customHeight="1">
      <x:c r="A2" s="32" t="str">
        <x:v>先由机械臂同事读取 +X/-X（Yaw）控制器软限位，再填写 B5:B9。禁止按机械本体理论极限直接运行；所有动作从中位进入，完成后必须回中位。</x:v>
      </x:c>
      <x:c r="B2" s="32" t="str">
        <x:v>先由机械臂同事读取控制器软限位，再填写 B5:B9。禁止按机械本体理论极限直接运行；所有动作从中位进入，完成后必须回中位。</x:v>
      </x:c>
      <x:c r="C2" s="32" t="str">
        <x:v>先由机械臂同事读取控制器软限位，再填写 B5:B9。禁止按机械本体理论极限直接运行；所有动作从中位进入，完成后必须回中位。</x:v>
      </x:c>
      <x:c r="D2" s="32" t="str">
        <x:v>先由机械臂同事读取控制器软限位，再填写 B5:B9。禁止按机械本体理论极限直接运行；所有动作从中位进入，完成后必须回中位。</x:v>
      </x:c>
      <x:c r="E2" s="32" t="str">
        <x:v>先由机械臂同事读取控制器软限位，再填写 B5:B9。禁止按机械本体理论极限直接运行；所有动作从中位进入，完成后必须回中位。</x:v>
      </x:c>
      <x:c r="F2" s="32" t="str">
        <x:v>先由机械臂同事读取控制器软限位，再填写 B5:B9。禁止按机械本体理论极限直接运行；所有动作从中位进入，完成后必须回中位。</x:v>
      </x:c>
    </x:row>
    <x:row r="4" ht="22" customHeight="1">
      <x:c r="A4" s="11" t="str">
        <x:v>+X/-X（Yaw）限位输入与自动计算</x:v>
      </x:c>
      <x:c r="B4" s="11" t="str">
        <x:v>Yaw 限位输入与自动计算</x:v>
      </x:c>
      <x:c r="C4" s="11" t="str">
        <x:v>Yaw 限位输入与自动计算</x:v>
      </x:c>
      <x:c r="D4" s="11" t="str">
        <x:v>Yaw 限位输入与自动计算</x:v>
      </x:c>
      <x:c r="E4" s="11" t="str">
        <x:v>Yaw 限位输入与自动计算</x:v>
      </x:c>
      <x:c r="F4" s="11" t="str">
        <x:v>Yaw 限位输入与自动计算</x:v>
      </x:c>
    </x:row>
    <x:row r="5" ht="30" customHeight="1">
      <x:c r="A5" s="16" t="str">
        <x:v>输入：+X（Yaw）负向控制器软限位（°）</x:v>
      </x:c>
      <x:c r="B5" s="39" t="n">
        <x:v>-45</x:v>
      </x:c>
      <x:c r="C5" s="14" t="str">
        <x:v>当前标定路径端点为 -45°；执行前确认控制器允许到达该端点</x:v>
      </x:c>
    </x:row>
    <x:row r="6" ht="30" customHeight="1">
      <x:c r="A6" s="16" t="str">
        <x:v>输入：+X（Yaw）正向控制器软限位（°）</x:v>
      </x:c>
      <x:c r="B6" s="39" t="n">
        <x:v>45</x:v>
      </x:c>
      <x:c r="C6" s="14" t="str">
        <x:v>当前标定路径端点为 +45°；执行前确认控制器允许到达该端点</x:v>
      </x:c>
    </x:row>
    <x:row r="7" ht="30" customHeight="1">
      <x:c r="A7" s="16" t="str">
        <x:v>输入：两端安全余量（°）</x:v>
      </x:c>
      <x:c r="B7" s="39" t="n">
        <x:v>0</x:v>
      </x:c>
      <x:c r="C7" s="14" t="str">
        <x:v>直达端点版：不额外保留角度余量；仅在控制器允许端点指令时使用</x:v>
      </x:c>
    </x:row>
    <x:row r="8" ht="30" customHeight="1">
      <x:c r="A8" s="16" t="str">
        <x:v>输入：Yaw 陀螺标定角速度（°/s）</x:v>
      </x:c>
      <x:c r="B8" s="39" t="n">
        <x:v>15</x:v>
      </x:c>
      <x:c r="C8" s="14" t="str">
        <x:v>仅匀速平台计入标定数据</x:v>
      </x:c>
    </x:row>
    <x:row r="9" ht="30" customHeight="1">
      <x:c r="A9" s="16" t="str">
        <x:v>输入：最短有效采集时间（s）</x:v>
      </x:c>
      <x:c r="B9" s="39" t="n">
        <x:v>2</x:v>
      </x:c>
      <x:c r="C9" s="14" t="str">
        <x:v>若达不到，必须降低角速度或调整路径</x:v>
      </x:c>
    </x:row>
    <x:row r="10" ht="30" customHeight="1">
      <x:c r="A10" s="16" t="str">
        <x:v>计算：+X（Yaw）负向安全位（°）</x:v>
      </x:c>
      <x:c r="B10" s="40" t="n">
        <x:f>B5+B7</x:f>
        <x:v>-45</x:v>
      </x:c>
      <x:c r="C10" s="14" t="str">
        <x:v>从中位向负向的最大允许标定位置</x:v>
      </x:c>
    </x:row>
    <x:row r="11" ht="30" customHeight="1">
      <x:c r="A11" s="16" t="str">
        <x:v>计算：+X（Yaw）正向安全位（°）</x:v>
      </x:c>
      <x:c r="B11" s="40" t="n">
        <x:f>B6-B7</x:f>
        <x:v>45</x:v>
      </x:c>
      <x:c r="C11" s="14" t="str">
        <x:v>从中位向正向的最大允许标定位置</x:v>
      </x:c>
    </x:row>
    <x:row r="12" ht="30" customHeight="1">
      <x:c r="A12" s="16" t="str">
        <x:v>计算：+X（Yaw）单次有效扫描角度（°）</x:v>
      </x:c>
      <x:c r="B12" s="40" t="n">
        <x:f>B11-B10</x:f>
        <x:v>90</x:v>
      </x:c>
      <x:c r="C12" s="14" t="str">
        <x:v>负向安全位到正向安全位之间的可采样角度</x:v>
      </x:c>
    </x:row>
    <x:row r="13" ht="30" customHeight="1">
      <x:c r="A13" s="16" t="str">
        <x:v>计算：+X（Yaw）单方向有效采集时间（s）</x:v>
      </x:c>
      <x:c r="B13" s="41" t="n">
        <x:f>IFERROR(MAX(0,B12/B8),0)</x:f>
        <x:v>6</x:v>
      </x:c>
      <x:c r="C13" s="14" t="str">
        <x:v>G01 / G02 的 H 列自动引用；仅匀速段有效</x:v>
      </x:c>
    </x:row>
    <x:row r="14" ht="30" customHeight="1">
      <x:c r="A14" s="16" t="str">
        <x:v>判定：+X（Yaw）路径是否可执行</x:v>
      </x:c>
      <x:c r="B14" s="38" t="str">
        <x:f>IF(AND(B10&lt;0,B11&gt;0,B8&gt;0,B13&gt;=B9),"通过","不通过：调整软限位/余量/角速度")</x:f>
        <x:v>通过</x:v>
      </x:c>
      <x:c r="C14" s="14" t="str">
        <x:v>必须为“通过”后才允许执行 G01 / G02</x:v>
      </x:c>
    </x:row>
    <x:row r="15" ht="52" customHeight="1">
      <x:c r="A15" s="16" t="str">
        <x:v>控制原则</x:v>
      </x:c>
      <x:c r="B15" s="14" t="str">
        <x:v>所有 +X/-X（Yaw）动作均从 0° 中位进入，完成后回 0°；严禁累计转角。</x:v>
      </x:c>
      <x:c r="C15" s="14" t="str">
        <x:v>适用于总 yaw 行程仅约 100°–200° 的机械臂</x:v>
      </x:c>
    </x:row>
    <x:row r="17" ht="22" customHeight="1">
      <x:c r="A17" s="11" t="str">
        <x:v>其他旋转轴限制</x:v>
      </x:c>
      <x:c r="B17" s="11" t="str">
        <x:v>其他旋转轴限制</x:v>
      </x:c>
      <x:c r="C17" s="11" t="str">
        <x:v>其他旋转轴限制</x:v>
      </x:c>
      <x:c r="D17" s="11" t="str">
        <x:v>其他旋转轴限制</x:v>
      </x:c>
      <x:c r="E17" s="11" t="str">
        <x:v>其他旋转轴限制</x:v>
      </x:c>
      <x:c r="F17" s="11" t="str">
        <x:v>其他旋转轴限制</x:v>
      </x:c>
    </x:row>
    <x:row r="18" ht="30" customHeight="1">
      <x:c r="A18" s="47" t="str">
        <x:v>轴</x:v>
      </x:c>
      <x:c r="B18" s="47" t="str">
        <x:v>路径限制</x:v>
      </x:c>
      <x:c r="C18" s="47" t="str">
        <x:v>执行规则</x:v>
      </x:c>
    </x:row>
    <x:row r="19" ht="42" customHeight="1">
      <x:c r="A19" s="50" t="str">
        <x:v>Y / Z（Roll / Pitch）</x:v>
      </x:c>
      <x:c r="B19" s="14" t="str">
        <x:v>单次扫描 ±75°；不使用累计转角</x:v>
      </x:c>
      <x:c r="C19" s="14" t="str">
        <x:v>G03-G06 均在 -75° → +75° 间采样；完成后回各自中位。</x:v>
      </x:c>
    </x:row>
    <x:row r="20" ht="42" customHeight="1">
      <x:c r="A20" s="50" t="str">
        <x:v>Yaw</x:v>
      </x:c>
      <x:c r="B20" s="14" t="str">
        <x:v>+X/-X（Yaw）仅按 B5:B7 推导出的安全位运行，不假设可连续 360°</x:v>
      </x:c>
      <x:c r="C20" s="14" t="str">
        <x:v>G01/G02 仅在 B14=通过时执行；M02/M03 仅向一侧摆动后回中位。</x:v>
      </x:c>
    </x:row>
    <x:row r="21" ht="42" customHeight="1">
      <x:c r="A21" s="50" t="str">
        <x:v>全部旋转轴</x:v>
      </x:c>
      <x:c r="B21" s="14" t="str">
        <x:v>移动、加减速、反向和回中位均不得计入拟合数据</x:v>
      </x:c>
      <x:c r="C21" s="14" t="str">
        <x:v>若任何轴接近软限位、超速、夹具滑动或通讯异常，立即中止并保留旧参数。</x:v>
      </x:c>
    </x:row>
  </x:sheetData>
  <x:mergeCells>
    <x:mergeCell ref="A1:F1"/>
    <x:mergeCell ref="A2:F2"/>
    <x:mergeCell ref="A4:F4"/>
    <x:mergeCell ref="A17:F17"/>
  </x:mergeCells>
  <x:pageMargins left="0.7" right="0.7" top="0.75" bottom="0.75" header="0.3" footer="0.3"/>
</x:worksheet>
</file>