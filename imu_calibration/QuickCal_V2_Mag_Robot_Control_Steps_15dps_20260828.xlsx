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6fa9cfaea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f18736093a542d8"/>
    <x:sheet xmlns:r="http://schemas.openxmlformats.org/officeDocument/2006/relationships" name="动作清单" sheetId="2" r:id="Rb081fc7a09434ae0"/>
    <x:sheet xmlns:r="http://schemas.openxmlformats.org/officeDocument/2006/relationships" name="磁标定规范" sheetId="3" r:id="R6d1f7b3e8c4c4234"/>
    <x:sheet xmlns:r="http://schemas.openxmlformats.org/officeDocument/2006/relationships" name="限位与参数" sheetId="4" r:id="Rc68096481d4e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4E78"/>
      <x:name val="Carlito"/>
    </x:font>
    <x:font>
      <x:b/>
      <x:sz val="11"/>
      <x:color rgb="FF9C0006"/>
      <x:name val="Carlito"/>
    </x:font>
    <x:font>
      <x:b/>
      <x:sz val="11"/>
      <x:color rgb="FF375623"/>
      <x:name val="Carlito"/>
    </x:font>
    <x:font>
      <x:i/>
      <x:sz val="11"/>
      <x:color rgb="FF375623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b/>
      <x:sz val="11"/>
      <x:color rgb="FF7030A0"/>
      <x:name val="Carlito"/>
    </x:font>
    <x:font>
      <x:b/>
      <x:sz val="11"/>
      <x:color rgb="FF1F2937"/>
      <x:name val="Microsoft YaHei"/>
    </x:font>
    <x:font>
      <x:i/>
      <x:sz val="11"/>
      <x:color rgb="FF1F2937"/>
      <x:name val="Microsoft YaHei"/>
    </x:font>
    <x:font>
      <x:sz val="11"/>
      <x:color rgb="FF1F2937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4DFEC"/>
      </x:patternFill>
    </x:fill>
    <x:fill>
      <x:patternFill patternType="solid">
        <x:fgColor rgb="FFEADCF3"/>
      </x:patternFill>
    </x:fill>
    <x:fill>
      <x:patternFill patternType="solid">
        <x:fgColor rgb="FFDDEBF7"/>
      </x:patternFill>
    </x:fill>
    <x:fill>
      <x:patternFill patternType="solid">
        <x:fgColor rgb="FFE2F0F9"/>
      </x:patternFill>
    </x:fill>
    <x:fill>
      <x:patternFill patternType="solid">
        <x:fgColor rgb="FF7030A0"/>
      </x:patternFill>
    </x:fill>
    <x:fill>
      <x:patternFill patternType="solid">
        <x:fgColor rgb="FFF3EEF8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200" fontId="6" fillId="8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0" fontId="6" fillId="9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horizontal="left"/>
    </x:xf>
    <x:xf numFmtId="0" fontId="1" fillId="12" borderId="1" xfId="0" applyNumberFormat="1" applyFont="1" applyFill="1" applyBorder="1" applyAlignment="1">
      <x:alignment horizontal="left" vertical="center"/>
    </x:xf>
    <x:xf numFmtId="0" fontId="6" fillId="12" borderId="1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6" fillId="13" borderId="1" xfId="0" applyNumberFormat="1" applyFont="1" applyFill="1" applyBorder="1" applyAlignment="1">
      <x:alignment vertical="center" wrapText="1"/>
    </x:xf>
    <x:xf numFmtId="0" fontId="8" fillId="13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9" fillId="10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horizontal="center"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200" fontId="11" fillId="6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200" fontId="11" fillId="9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right"/>
    </x:xf>
    <x:xf numFmtId="200" fontId="9" fillId="5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wrapText="1"/>
    </x:xf>
    <x:xf numFmtId="0" fontId="9" fillId="12" borderId="1" xfId="0" applyNumberFormat="1" applyFont="1" applyFill="1" applyBorder="1" applyAlignment="1">
      <x:alignment horizontal="left" vertical="center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9" fillId="1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1F4E78"/>
      </x:font>
      <x:fill>
        <x:patternFill patternType="solid">
          <x:bgColor rgb="FFBDD7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a97853f9d4f57" /><Relationship Type="http://schemas.openxmlformats.org/officeDocument/2006/relationships/theme" Target="/xl/theme/theme1.xml" Id="R9b39719ecd334664" /><Relationship Type="http://schemas.openxmlformats.org/officeDocument/2006/relationships/sharedStrings" Target="/xl/sharedStrings.xml" Id="R4b00c8c5c1754a7b" /><Relationship Type="http://schemas.openxmlformats.org/officeDocument/2006/relationships/worksheet" Target="/xl/worksheets/sheet1.xml" Id="Raf18736093a542d8" /><Relationship Type="http://schemas.openxmlformats.org/officeDocument/2006/relationships/worksheet" Target="/xl/worksheets/sheet2.xml" Id="Rb081fc7a09434ae0" /><Relationship Type="http://schemas.openxmlformats.org/officeDocument/2006/relationships/worksheet" Target="/xl/worksheets/sheet3.xml" Id="R6d1f7b3e8c4c4234" /><Relationship Type="http://schemas.openxmlformats.org/officeDocument/2006/relationships/worksheet" Target="/xl/worksheets/sheet4.xml" Id="Rc68096481d4e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36" hidden="0" customWidth="1"/>
    <x:col min="5" max="5" width="14" hidden="0" customWidth="1"/>
    <x:col min="6" max="6" width="29" hidden="0" customWidth="1"/>
    <x:col min="7" max="7" width="15" hidden="0" customWidth="1"/>
    <x:col min="8" max="8" width="31" hidden="0" customWidth="1"/>
  </x:cols>
  <x:sheetData>
    <x:row r="1" ht="30" customHeight="1">
      <x:c r="A1" s="62" t="str">
        <x:v>QuickCal V2-MAG 工厂内参 / 掌心磁力计标定工单</x:v>
      </x:c>
      <x:c r="B1" s="62" t="str">
        <x:v>QuickCal V2-MAG 工厂内参 / 掌心磁力计标定工单</x:v>
      </x:c>
      <x:c r="C1" s="62" t="str">
        <x:v>QuickCal V2-MAG 工厂内参 / 掌心磁力计标定工单</x:v>
      </x:c>
      <x:c r="D1" s="62" t="str">
        <x:v>QuickCal V2-MAG 工厂内参 / 掌心磁力计标定工单</x:v>
      </x:c>
      <x:c r="E1" s="62" t="str">
        <x:v>QuickCal V2-MAG 工厂内参 / 掌心磁力计标定工单</x:v>
      </x:c>
      <x:c r="F1" s="62" t="str">
        <x:v>QuickCal V2-MAG 工厂内参 / 掌心磁力计标定工单</x:v>
      </x:c>
      <x:c r="G1" s="62" t="str">
        <x:v>QuickCal V2-MAG 工厂内参 / 掌心磁力计标定工单</x:v>
      </x:c>
      <x:c r="H1" s="62" t="str">
        <x:v>QuickCal V2-MAG 工厂内参 / 掌心磁力计标定工单</x:v>
      </x:c>
    </x:row>
    <x:row r="2" ht="38" customHeight="1">
      <x:c r="A2" s="63" t="str">
        <x:v>依据当前机械臂表：X/Y 为 ±75°、15 deg/s、10.0 s 匀速采集；Yaw 按安全限位计算，当前单方向有效采集 5.3 s。磁标定使用 M01-M04，面向掌心磁力计。</x:v>
      </x:c>
      <x:c r="B2" s="63" t="str">
        <x:v>依据当前机械臂表：X/Y 为 ±75°、15 deg/s、10.0 s 匀速采集；Yaw 按安全限位计算，当前单方向有效采集 5.3 s。磁标定使用 M01-M04，面向掌心磁力计。</x:v>
      </x:c>
      <x:c r="C2" s="63" t="str">
        <x:v>依据当前机械臂表：X/Y 为 ±75°、15 deg/s、10.0 s 匀速采集；Yaw 按安全限位计算，当前单方向有效采集 5.3 s。磁标定使用 M01-M04，面向掌心磁力计。</x:v>
      </x:c>
      <x:c r="D2" s="63" t="str">
        <x:v>依据当前机械臂表：X/Y 为 ±75°、15 deg/s、10.0 s 匀速采集；Yaw 按安全限位计算，当前单方向有效采集 5.3 s。磁标定使用 M01-M04，面向掌心磁力计。</x:v>
      </x:c>
      <x:c r="E2" s="63" t="str">
        <x:v>依据当前机械臂表：X/Y 为 ±75°、15 deg/s、10.0 s 匀速采集；Yaw 按安全限位计算，当前单方向有效采集 5.3 s。磁标定使用 M01-M04，面向掌心磁力计。</x:v>
      </x:c>
      <x:c r="F2" s="63" t="str">
        <x:v>依据当前机械臂表：X/Y 为 ±75°、15 deg/s、10.0 s 匀速采集；Yaw 按安全限位计算，当前单方向有效采集 5.3 s。磁标定使用 M01-M04，面向掌心磁力计。</x:v>
      </x:c>
      <x:c r="G2" s="63" t="str">
        <x:v>依据当前机械臂表：X/Y 为 ±75°、15 deg/s、10.0 s 匀速采集；Yaw 按安全限位计算，当前单方向有效采集 5.3 s。磁标定使用 M01-M04，面向掌心磁力计。</x:v>
      </x:c>
      <x:c r="H2" s="63" t="str">
        <x:v>依据当前机械臂表：X/Y 为 ±75°、15 deg/s、10.0 s 匀速采集；Yaw 按安全限位计算，当前单方向有效采集 5.3 s。磁标定使用 M01-M04，面向掌心磁力计。</x:v>
      </x:c>
    </x:row>
    <x:row r="3" ht="42" customHeight="1">
      <x:c r="A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B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C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D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E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F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G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  <x:c r="H3" s="64" t="str">
        <x:v>固件兼容性：r024-fac-rawq 是 13 段无磁流程，不能使用本表的 M01-M04 提交。磁流程要求下一版固件启用 FACTORY_REQUIRE_MAG_STAGE=1、ENABLE_MAG=1，并在 MCAL_COMMIT 中执行 TriMag_CalSolve。</x:v>
      </x:c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2" customHeight="1">
      <x:c r="A5" s="62" t="str">
        <x:v>执行摘要</x:v>
      </x:c>
      <x:c r="B5" s="62" t="str">
        <x:v>执行摘要</x:v>
      </x:c>
      <x:c r="C5" s="62" t="str">
        <x:v>执行摘要</x:v>
      </x:c>
      <x:c r="D5" s="62" t="str">
        <x:v>执行摘要</x:v>
      </x:c>
      <x:c r="E5" s="62" t="str">
        <x:v>执行摘要</x:v>
      </x:c>
      <x:c r="F5" s="62" t="str">
        <x:v>执行摘要</x:v>
      </x:c>
      <x:c r="G5" s="62" t="str">
        <x:v>执行摘要</x:v>
      </x:c>
      <x:c r="H5" s="62" t="str">
        <x:v>执行摘要</x:v>
      </x:c>
    </x:row>
    <x:row r="6" ht="34" customHeight="1">
      <x:c r="A6" s="66" t="str">
        <x:v>版本</x:v>
      </x:c>
      <x:c r="B6" s="67" t="str">
        <x:v>QuickCal V2-MAG</x:v>
      </x:c>
      <x:c r="C6" s="66" t="str">
        <x:v>目标</x:v>
      </x:c>
      <x:c r="D6" s="67" t="str">
        <x:v>11 路 IMU 内参 + 掌心磁力计硬铁/对角软铁</x:v>
      </x:c>
      <x:c r="E6" s="66" t="str">
        <x:v>状态</x:v>
      </x:c>
      <x:c r="F6" s="67" t="str">
        <x:v>待执行</x:v>
      </x:c>
      <x:c r="G6" s="66" t="str">
        <x:v>适用固件</x:v>
      </x:c>
      <x:c r="H6" s="67" t="str">
        <x:v>磁标定版（非 r024）</x:v>
      </x:c>
    </x:row>
    <x:row r="7" ht="34" customHeight="1">
      <x:c r="A7" s="66" t="str">
        <x:v>预计流程时长 (s)</x:v>
      </x:c>
      <x:c r="B7" s="68" t="n">
        <x:f>SUM('动作清单'!J5:J24)</x:f>
        <x:v>315.6</x:v>
      </x:c>
      <x:c r="C7" s="66" t="str">
        <x:v>有效采集总时长 (s)</x:v>
      </x:c>
      <x:c r="D7" s="67" t="n">
        <x:f>SUM('动作清单'!H5:H24)</x:f>
        <x:v>163.6</x:v>
      </x:c>
      <x:c r="E7" s="66" t="str">
        <x:v>协议阶段数</x:v>
      </x:c>
      <x:c r="F7" s="67" t="n">
        <x:f>COUNTA('动作清单'!B5:B24)-3</x:f>
        <x:v>17</x:v>
      </x:c>
      <x:c r="G7" s="66" t="str">
        <x:v>磁阶段数</x:v>
      </x:c>
      <x:c r="H7" s="67" t="n">
        <x:f>COUNTIF('动作清单'!C5:C24,"磁标定")</x:f>
        <x:v>4</x:v>
      </x:c>
    </x:row>
    <x:row r="8" ht="34" customHeight="1">
      <x:c r="A8" s="66" t="str">
        <x:v>机械臂参数</x:v>
      </x:c>
      <x:c r="B8" s="67" t="str">
        <x:v>15 deg/s；X/Y ±75°；Yaw 单向 5.3 s</x:v>
      </x:c>
      <x:c r="C8" s="66" t="str">
        <x:v>磁翻转</x:v>
      </x:c>
      <x:c r="D8" s="67" t="str">
        <x:v>M01 40 s + M02/M03 2×10 s + M04 5 s</x:v>
      </x:c>
      <x:c r="E8" s="66" t="str">
        <x:v>写入条件</x:v>
      </x:c>
      <x:c r="F8" s="67" t="str">
        <x:v>Gyro/Accel/Mag/Flash 全部通过</x:v>
      </x:c>
      <x:c r="G8" s="66" t="str">
        <x:v>磁目标</x:v>
      </x:c>
      <x:c r="H8" s="67" t="str">
        <x:v>仅掌心磁力计</x:v>
      </x:c>
    </x:row>
    <x:row r="9" ht="34" customHeight="1">
      <x:c r="A9" s="66" t="str">
        <x:v>关键安全</x:v>
      </x:c>
      <x:c r="B9" s="67" t="str">
        <x:v>机械臂金属、夹具与线束的相对磁环境必须稳定且可重复</x:v>
      </x:c>
      <x:c r="C9" s="66" t="str">
        <x:v>Yaw</x:v>
      </x:c>
      <x:c r="D9" s="67" t="str">
        <x:v>禁止累计旋转；始终由 0° 中位进入/退出</x:v>
      </x:c>
      <x:c r="E9" s="66" t="str">
        <x:v>原始归档</x:v>
      </x:c>
      <x:c r="F9" s="67" t="str">
        <x:v>type=9/11 + type=10/12 + 标记/结果</x:v>
      </x:c>
      <x:c r="G9" s="66" t="str">
        <x:v>环境</x:v>
      </x:c>
      <x:c r="H9" s="67" t="str">
        <x:v>无移动铁件、磁铁、负载切换</x:v>
      </x:c>
    </x:row>
    <x:row r="10" ht="34" customHeight="1">
      <x:c r="A10" s="66" t="str">
        <x:v>复验</x:v>
      </x:c>
      <x:c r="B10" s="67" t="str">
        <x:v>断电重启后确认 calSeq 与磁标定标志均从 Flash 加载</x:v>
      </x:c>
      <x:c r="C10" s="66" t="str">
        <x:v>质量复核</x:v>
      </x:c>
      <x:c r="D10" s="67" t="str">
        <x:v>校正后 |B| spread：&lt;5% 良好；&gt;10% 需调查/全椭球方案</x:v>
      </x:c>
      <x:c r="E10" s="66" t="str">
        <x:v>责任</x:v>
      </x:c>
      <x:c r="F10" s="67" t="str">
        <x:v>机械臂/结构/嵌入式/工站共同签核</x:v>
      </x:c>
      <x:c r="G10" s="66" t="str">
        <x:v>备注</x:v>
      </x:c>
      <x:c r="H10" s="67" t="str">
        <x:v>温漂建模不在本轮写入范围</x:v>
      </x:c>
    </x:row>
    <x:row r="11">
      <x:c r="A11" s="65"/>
      <x:c r="B11" s="65"/>
      <x:c r="C11" s="65"/>
      <x:c r="D11" s="65"/>
      <x:c r="E11" s="65"/>
      <x:c r="F11" s="65"/>
      <x:c r="G11" s="65"/>
      <x:c r="H11" s="65"/>
    </x:row>
    <x:row r="12" ht="22" customHeight="1">
      <x:c r="A12" s="62" t="str">
        <x:v>建议执行顺序</x:v>
      </x:c>
      <x:c r="B12" s="62" t="str">
        <x:v>建议执行顺序</x:v>
      </x:c>
      <x:c r="C12" s="62" t="str">
        <x:v>建议执行顺序</x:v>
      </x:c>
      <x:c r="D12" s="62" t="str">
        <x:v>建议执行顺序</x:v>
      </x:c>
      <x:c r="E12" s="62" t="str">
        <x:v>建议执行顺序</x:v>
      </x:c>
      <x:c r="F12" s="62" t="str">
        <x:v>建议执行顺序</x:v>
      </x:c>
      <x:c r="G12" s="62" t="str">
        <x:v>建议执行顺序</x:v>
      </x:c>
      <x:c r="H12" s="62" t="str">
        <x:v>建议执行顺序</x:v>
      </x:c>
    </x:row>
    <x:row r="13" ht="42" customHeight="1">
      <x:c r="A13" s="69" t="str">
        <x:v>1</x:v>
      </x:c>
      <x:c r="B13" s="67" t="str">
        <x:v>P0：确认工件、机械臂、磁环境与传感器在线</x:v>
      </x:c>
      <x:c r="C13" s="69" t="str">
        <x:v>2</x:v>
      </x:c>
      <x:c r="D13" s="67" t="str">
        <x:v>P1 与 A01-A06：静止基线和六面加速度计</x:v>
      </x:c>
      <x:c r="E13" s="69" t="str">
        <x:v>3</x:v>
      </x:c>
      <x:c r="F13" s="67" t="str">
        <x:v>G01-G06：严格在匀速窗内开关阶段</x:v>
      </x:c>
      <x:c r="G13" s="69" t="str">
        <x:v>4</x:v>
      </x:c>
      <x:c r="H13" s="67" t="str">
        <x:v>M01-M04：完成掌心磁场三维覆盖</x:v>
      </x:c>
    </x:row>
    <x:row r="14" ht="42" customHeight="1">
      <x:c r="A14" s="69" t="str">
        <x:v>5</x:v>
      </x:c>
      <x:c r="B14" s="67" t="str">
        <x:v>关闭 M04 后发送 MCAL_COMMIT，接收 Gyro/Accel/Mag/Flash 结果</x:v>
      </x:c>
      <x:c r="C14" s="69" t="str">
        <x:v>6</x:v>
      </x:c>
      <x:c r="D14" s="67" t="str">
        <x:v>失败时保留旧 Flash 参数与原始记录，不重复覆盖</x:v>
      </x:c>
      <x:c r="E14" s="69" t="str">
        <x:v>7</x:v>
      </x:c>
      <x:c r="F14" s="67" t="str">
        <x:v>通过后断电重启，复查 calSeq 和磁标定加载状态</x:v>
      </x:c>
      <x:c r="G14" s="69" t="str">
        <x:v>8</x:v>
      </x:c>
      <x:c r="H14" s="67" t="str">
        <x:v>保存 CSV、阶段标记、结果报告后回安全位</x:v>
      </x:c>
    </x:row>
    <x:row r="15" ht="42" customHeight="1">
      <x:c r="A15" s="69" t="str">
        <x:v>范围</x:v>
      </x:c>
      <x:c r="B15" s="67" t="str">
        <x:v>磁标定只作用于掌心磁传感器；不把磁参数写到 11 个 LSM6DSV 六轴 IMU</x:v>
      </x:c>
      <x:c r="C15" s="69" t="str">
        <x:v>风险</x:v>
      </x:c>
      <x:c r="D15" s="67" t="str">
        <x:v>机器人、夹具的铁磁材料在运动中改变场分布，会污染硬铁/软铁拟合</x:v>
      </x:c>
      <x:c r="E15" s="69" t="str">
        <x:v>温度</x:v>
      </x:c>
      <x:c r="F15" s="67" t="str">
        <x:v>本版本只记录工位环境；温漂补偿另行建立模型</x:v>
      </x:c>
      <x:c r="G15" s="69" t="str">
        <x:v>质量</x:v>
      </x:c>
      <x:c r="H15" s="67" t="str">
        <x:v>没有多量程输入时，不以本流程判定 0.1% 非线性</x:v>
      </x:c>
    </x:row>
    <x:row r="16" ht="42" customHeight="1">
      <x:c r="A16" s="69" t="str">
        <x:v>说明</x:v>
      </x:c>
      <x:c r="B16" s="67" t="str">
        <x:v>M01-M04 不是人体佩戴标定；平摊/握拳/对掌属于外参或算法标定，必须与本工位流程隔离</x:v>
      </x:c>
      <x:c r="C16" s="69" t="str">
        <x:v>协议</x:v>
      </x:c>
      <x:c r="D16" s="67" t="str">
        <x:v>M01=0x30、M02=0x31、M03=0x32、M04=0x33，均使用 captureMask=0x08</x:v>
      </x:c>
      <x:c r="E16" s="69" t="str">
        <x:v>工艺</x:v>
      </x:c>
      <x:c r="F16" s="67" t="str">
        <x:v>磁工位环境发生变化后，应重新标定或判定环境不合格</x:v>
      </x:c>
      <x:c r="G16" s="69" t="str">
        <x:v>交付</x:v>
      </x:c>
      <x:c r="H16" s="67" t="str">
        <x:v>本表是机械臂控制、上位机阶段握手与质量归档的共同依据</x:v>
      </x:c>
    </x:row>
  </x:sheetData>
  <x:mergeCells>
    <x:mergeCell ref="A1:H1"/>
    <x:mergeCell ref="A2:H2"/>
    <x:mergeCell ref="A3:H3"/>
    <x:mergeCell ref="A5:H5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20" hidden="0" customWidth="1"/>
    <x:col min="5" max="5" width="48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0" hidden="0" customWidth="1"/>
    <x:col min="12" max="12" width="26" hidden="0" customWidth="1"/>
    <x:col min="13" max="13" width="29" hidden="0" customWidth="1"/>
    <x:col min="14" max="14" width="29" hidden="0" customWidth="1"/>
    <x:col min="15" max="15" width="12" hidden="0" customWidth="1"/>
    <x:col min="16" max="16" width="31" hidden="0" customWidth="1"/>
  </x:cols>
  <x:sheetData>
    <x:row r="1" ht="28" customHeight="1">
      <x:c r="A1" s="62" t="str">
        <x:v>QuickCal V2-MAG 机械臂工厂标定动作清单</x:v>
      </x:c>
      <x:c r="B1" s="62" t="str">
        <x:v>QuickCal V2-MAG 机械臂工厂标定动作清单</x:v>
      </x:c>
      <x:c r="C1" s="62" t="str">
        <x:v>QuickCal V2-MAG 机械臂工厂标定动作清单</x:v>
      </x:c>
      <x:c r="D1" s="62" t="str">
        <x:v>QuickCal V2-MAG 机械臂工厂标定动作清单</x:v>
      </x:c>
      <x:c r="E1" s="62" t="str">
        <x:v>QuickCal V2-MAG 机械臂工厂标定动作清单</x:v>
      </x:c>
      <x:c r="F1" s="62" t="str">
        <x:v>QuickCal V2-MAG 机械臂工厂标定动作清单</x:v>
      </x:c>
      <x:c r="G1" s="62" t="str">
        <x:v>QuickCal V2-MAG 机械臂工厂标定动作清单</x:v>
      </x:c>
      <x:c r="H1" s="62" t="str">
        <x:v>QuickCal V2-MAG 机械臂工厂标定动作清单</x:v>
      </x:c>
      <x:c r="I1" s="62" t="str">
        <x:v>QuickCal V2-MAG 机械臂工厂标定动作清单</x:v>
      </x:c>
      <x:c r="J1" s="62" t="str">
        <x:v>QuickCal V2-MAG 机械臂工厂标定动作清单</x:v>
      </x:c>
      <x:c r="K1" s="62" t="str">
        <x:v>QuickCal V2-MAG 机械臂工厂标定动作清单</x:v>
      </x:c>
      <x:c r="L1" s="62" t="str">
        <x:v>QuickCal V2-MAG 机械臂工厂标定动作清单</x:v>
      </x:c>
      <x:c r="M1" s="62" t="str">
        <x:v>QuickCal V2-MAG 机械臂工厂标定动作清单</x:v>
      </x:c>
      <x:c r="N1" s="62" t="str">
        <x:v>QuickCal V2-MAG 机械臂工厂标定动作清单</x:v>
      </x:c>
      <x:c r="O1" s="62" t="str">
        <x:v>QuickCal V2-MAG 机械臂工厂标定动作清单</x:v>
      </x:c>
      <x:c r="P1" s="62" t="str">
        <x:v>QuickCal V2-MAG 机械臂工厂标定动作清单</x:v>
      </x:c>
    </x:row>
    <x:row r="2" ht="34" customHeight="1">
      <x:c r="A2" s="63" t="str">
        <x:v>采集仅在阶段命令已确认、动作满足开始条件后开启。G 阶段只采集匀速段；移动、加速、减速、反向、回中均不得进入陀螺拟合。M 阶段仅标定掌心磁力计。</x:v>
      </x:c>
      <x:c r="B2" s="63" t="str">
        <x:v>采集仅在阶段命令已确认、动作满足开始条件后开启。G 阶段只采集匀速段；移动、加速、减速、反向、回中均不得进入陀螺拟合。M 阶段仅标定掌心磁力计。</x:v>
      </x:c>
      <x:c r="C2" s="63" t="str">
        <x:v>采集仅在阶段命令已确认、动作满足开始条件后开启。G 阶段只采集匀速段；移动、加速、减速、反向、回中均不得进入陀螺拟合。M 阶段仅标定掌心磁力计。</x:v>
      </x:c>
      <x:c r="D2" s="63" t="str">
        <x:v>采集仅在阶段命令已确认、动作满足开始条件后开启。G 阶段只采集匀速段；移动、加速、减速、反向、回中均不得进入陀螺拟合。M 阶段仅标定掌心磁力计。</x:v>
      </x:c>
      <x:c r="E2" s="63" t="str">
        <x:v>采集仅在阶段命令已确认、动作满足开始条件后开启。G 阶段只采集匀速段；移动、加速、减速、反向、回中均不得进入陀螺拟合。M 阶段仅标定掌心磁力计。</x:v>
      </x:c>
      <x:c r="F2" s="63" t="str">
        <x:v>采集仅在阶段命令已确认、动作满足开始条件后开启。G 阶段只采集匀速段；移动、加速、减速、反向、回中均不得进入陀螺拟合。M 阶段仅标定掌心磁力计。</x:v>
      </x:c>
      <x:c r="G2" s="63" t="str">
        <x:v>采集仅在阶段命令已确认、动作满足开始条件后开启。G 阶段只采集匀速段；移动、加速、减速、反向、回中均不得进入陀螺拟合。M 阶段仅标定掌心磁力计。</x:v>
      </x:c>
      <x:c r="H2" s="63" t="str">
        <x:v>采集仅在阶段命令已确认、动作满足开始条件后开启。G 阶段只采集匀速段；移动、加速、减速、反向、回中均不得进入陀螺拟合。M 阶段仅标定掌心磁力计。</x:v>
      </x:c>
      <x:c r="I2" s="63" t="str">
        <x:v>采集仅在阶段命令已确认、动作满足开始条件后开启。G 阶段只采集匀速段；移动、加速、减速、反向、回中均不得进入陀螺拟合。M 阶段仅标定掌心磁力计。</x:v>
      </x:c>
      <x:c r="J2" s="63" t="str">
        <x:v>采集仅在阶段命令已确认、动作满足开始条件后开启。G 阶段只采集匀速段；移动、加速、减速、反向、回中均不得进入陀螺拟合。M 阶段仅标定掌心磁力计。</x:v>
      </x:c>
      <x:c r="K2" s="63" t="str">
        <x:v>采集仅在阶段命令已确认、动作满足开始条件后开启。G 阶段只采集匀速段；移动、加速、减速、反向、回中均不得进入陀螺拟合。M 阶段仅标定掌心磁力计。</x:v>
      </x:c>
      <x:c r="L2" s="63" t="str">
        <x:v>采集仅在阶段命令已确认、动作满足开始条件后开启。G 阶段只采集匀速段；移动、加速、减速、反向、回中均不得进入陀螺拟合。M 阶段仅标定掌心磁力计。</x:v>
      </x:c>
      <x:c r="M2" s="63" t="str">
        <x:v>采集仅在阶段命令已确认、动作满足开始条件后开启。G 阶段只采集匀速段；移动、加速、减速、反向、回中均不得进入陀螺拟合。M 阶段仅标定掌心磁力计。</x:v>
      </x:c>
      <x:c r="N2" s="63" t="str">
        <x:v>采集仅在阶段命令已确认、动作满足开始条件后开启。G 阶段只采集匀速段；移动、加速、减速、反向、回中均不得进入陀螺拟合。M 阶段仅标定掌心磁力计。</x:v>
      </x:c>
      <x:c r="O2" s="63" t="str">
        <x:v>采集仅在阶段命令已确认、动作满足开始条件后开启。G 阶段只采集匀速段；移动、加速、减速、反向、回中均不得进入陀螺拟合。M 阶段仅标定掌心磁力计。</x:v>
      </x:c>
      <x:c r="P2" s="63" t="str">
        <x:v>采集仅在阶段命令已确认、动作满足开始条件后开启。G 阶段只采集匀速段；移动、加速、减速、反向、回中均不得进入陀螺拟合。M 阶段仅标定掌心磁力计。</x:v>
      </x:c>
    </x:row>
    <x:row r="3" ht="38" customHeight="1">
      <x:c r="A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B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C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D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E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F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G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H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I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J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K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L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M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N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O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  <x:c r="P3" s="64" t="str">
        <x:v>磁标定前置：当前 r024-fac-rawq 为无磁流程，禁止发送 M01-M04 后提交。只有烧录启用 FACTORY_REQUIRE_MAG_STAGE=1 且 ENABLE_MAG=1 的磁标定固件后，才能执行本表 M01-M04 与 17 段提交。</x:v>
      </x:c>
    </x:row>
    <x:row r="4" ht="28" customHeight="1">
      <x:c r="A4" s="70" t="str">
        <x:v>序号</x:v>
      </x:c>
      <x:c r="B4" s="70" t="str">
        <x:v>阶段码</x:v>
      </x:c>
      <x:c r="C4" s="70" t="str">
        <x:v>标定类别</x:v>
      </x:c>
      <x:c r="D4" s="70" t="str">
        <x:v>动作 / 目标</x:v>
      </x:c>
      <x:c r="E4" s="70" t="str">
        <x:v>机械臂控制动作</x:v>
      </x:c>
      <x:c r="F4" s="70" t="str">
        <x:v>预置
(s)</x:v>
      </x:c>
      <x:c r="G4" s="70" t="str">
        <x:v>稳定/加速
(s)</x:v>
      </x:c>
      <x:c r="H4" s="70" t="str">
        <x:v>有效采集
(s)</x:v>
      </x:c>
      <x:c r="I4" s="70" t="str">
        <x:v>退出/回中
(s)</x:v>
      </x:c>
      <x:c r="J4" s="70" t="str">
        <x:v>单步总时长
(s)</x:v>
      </x:c>
      <x:c r="K4" s="70" t="str">
        <x:v>采集掩码</x:v>
      </x:c>
      <x:c r="L4" s="70" t="str">
        <x:v>上位机操作</x:v>
      </x:c>
      <x:c r="M4" s="70" t="str">
        <x:v>归档数据</x:v>
      </x:c>
      <x:c r="N4" s="70" t="str">
        <x:v>通过条件</x:v>
      </x:c>
      <x:c r="O4" s="70" t="str">
        <x:v>执行状态</x:v>
      </x:c>
      <x:c r="P4" s="70" t="str">
        <x:v>备注</x:v>
      </x:c>
    </x:row>
    <x:row r="5" ht="44" customHeight="1">
      <x:c r="A5" s="71" t="str">
        <x:v>P0</x:v>
      </x:c>
      <x:c r="B5" s="71" t="str">
        <x:v>—</x:v>
      </x:c>
      <x:c r="C5" s="71" t="str">
        <x:v>准备</x:v>
      </x:c>
      <x:c r="D5" s="67" t="str">
        <x:v>设备、夹具与磁环境检查</x:v>
      </x:c>
      <x:c r="E5" s="67" t="str">
        <x:v>机械臂停安全位；夹具锁紧；线束无受力；确认无移动铁件、磁铁、工具或电流负载切换</x:v>
      </x:c>
      <x:c r="F5" s="72" t="n">
        <x:v>0</x:v>
      </x:c>
      <x:c r="G5" s="72" t="n">
        <x:v>0</x:v>
      </x:c>
      <x:c r="H5" s="72" t="n">
        <x:v>0</x:v>
      </x:c>
      <x:c r="I5" s="72" t="n">
        <x:v>0</x:v>
      </x:c>
      <x:c r="J5" s="72" t="n">
        <x:f>SUM(F5:I5)</x:f>
        <x:v>0</x:v>
      </x:c>
      <x:c r="K5" s="71" t="str">
        <x:v>—</x:v>
      </x:c>
      <x:c r="L5" s="67" t="str">
        <x:v>GET_VERSION；检查 11 路 type=9/11 与掌心磁数据</x:v>
      </x:c>
      <x:c r="M5" s="67" t="str">
        <x:v>版本、presenceMask、磁传感器在线状态、SN、工位</x:v>
      </x:c>
      <x:c r="N5" s="67" t="str">
        <x:v>11 路 IMU 在线；掌心磁 ID/数据有效；磁环境通过</x:v>
      </x:c>
      <x:c r="O5" s="73" t="str">
        <x:v>未开始</x:v>
      </x:c>
      <x:c r="P5" s="67" t="str">
        <x:v>磁标定期间机器人轨迹与周边金属位置必须可重复</x:v>
      </x:c>
    </x:row>
    <x:row r="6" ht="44" customHeight="1">
      <x:c r="A6" s="71" t="str">
        <x:v>P1</x:v>
      </x:c>
      <x:c r="B6" s="71" t="str">
        <x:v>0x01（1）</x:v>
      </x:c>
      <x:c r="C6" s="71" t="str">
        <x:v>陀螺零偏</x:v>
      </x:c>
      <x:c r="D6" s="67" t="str">
        <x:v>30 秒静止基线</x:v>
      </x:c>
      <x:c r="E6" s="67" t="str">
        <x:v>中性位完全静止；先静置后采集</x:v>
      </x:c>
      <x:c r="F6" s="72" t="n">
        <x:v>0</x:v>
      </x:c>
      <x:c r="G6" s="72" t="n">
        <x:v>2</x:v>
      </x:c>
      <x:c r="H6" s="72" t="n">
        <x:v>30</x:v>
      </x:c>
      <x:c r="I6" s="72" t="n">
        <x:v>0</x:v>
      </x:c>
      <x:c r="J6" s="72" t="n">
        <x:f>SUM(F6:I6)</x:f>
        <x:v>32</x:v>
      </x:c>
      <x:c r="K6" s="71" t="str">
        <x:v>0x01（Bias）</x:v>
      </x:c>
      <x:c r="L6" s="67" t="str">
        <x:v>MCAL_BEGIN → MCAL_STAGE(P1) → 关闭阶段</x:v>
      </x:c>
      <x:c r="M6" s="67" t="str">
        <x:v>11 路原始 Gyro/Accel；静止峰值</x:v>
      </x:c>
      <x:c r="N6" s="67" t="str">
        <x:v>11 路零偏稳定；无夹具振动</x:v>
      </x:c>
      <x:c r="O6" s="73" t="str">
        <x:v>未开始</x:v>
      </x:c>
      <x:c r="P6" s="67" t="str">
        <x:v>用于 Gyro bias；不是 Allan 方差完整测试</x:v>
      </x:c>
    </x:row>
    <x:row r="7" ht="44" customHeight="1">
      <x:c r="A7" s="71" t="str">
        <x:v>A01</x:v>
      </x:c>
      <x:c r="B7" s="71" t="str">
        <x:v>0x10（16）</x:v>
      </x:c>
      <x:c r="C7" s="71" t="str">
        <x:v>Accel 六面</x:v>
      </x:c>
      <x:c r="D7" s="67" t="str">
        <x:v>+X 面</x:v>
      </x:c>
      <x:c r="E7" s="67" t="str">
        <x:v>重力投影到夹具 +X；到位后保持不动</x:v>
      </x:c>
      <x:c r="F7" s="72" t="n">
        <x:v>3</x:v>
      </x:c>
      <x:c r="G7" s="72" t="n">
        <x:v>2</x:v>
      </x:c>
      <x:c r="H7" s="72" t="n">
        <x:v>3</x:v>
      </x:c>
      <x:c r="I7" s="72" t="n">
        <x:v>0</x:v>
      </x:c>
      <x:c r="J7" s="72" t="n">
        <x:f>SUM(F7:I7)</x:f>
        <x:v>8</x:v>
      </x:c>
      <x:c r="K7" s="71" t="str">
        <x:v>0x02（Accel）</x:v>
      </x:c>
      <x:c r="L7" s="67" t="str">
        <x:v>MCAL_STAGE(A01) 开/关</x:v>
      </x:c>
      <x:c r="M7" s="67" t="str">
        <x:v>11 路 Acc/Gyro 原始数据</x:v>
      </x:c>
      <x:c r="N7" s="67" t="str">
        <x:v>采集期间机械臂角速度接近 0</x:v>
      </x:c>
      <x:c r="O7" s="73" t="str">
        <x:v>未开始</x:v>
      </x:c>
      <x:c r="P7" s="67" t="str">
        <x:v>移动过程不采样</x:v>
      </x:c>
    </x:row>
    <x:row r="8" ht="44" customHeight="1">
      <x:c r="A8" s="71" t="str">
        <x:v>A02</x:v>
      </x:c>
      <x:c r="B8" s="71" t="str">
        <x:v>0x11（17）</x:v>
      </x:c>
      <x:c r="C8" s="71" t="str">
        <x:v>Accel 六面</x:v>
      </x:c>
      <x:c r="D8" s="67" t="str">
        <x:v>-X 面</x:v>
      </x:c>
      <x:c r="E8" s="67" t="str">
        <x:v>重力投影到夹具 -X；到位后保持不动</x:v>
      </x:c>
      <x:c r="F8" s="72" t="n">
        <x:v>3</x:v>
      </x:c>
      <x:c r="G8" s="72" t="n">
        <x:v>2</x:v>
      </x:c>
      <x:c r="H8" s="72" t="n">
        <x:v>3</x:v>
      </x:c>
      <x:c r="I8" s="72" t="n">
        <x:v>0</x:v>
      </x:c>
      <x:c r="J8" s="72" t="n">
        <x:f>SUM(F8:I8)</x:f>
        <x:v>8</x:v>
      </x:c>
      <x:c r="K8" s="71" t="str">
        <x:v>0x02（Accel）</x:v>
      </x:c>
      <x:c r="L8" s="67" t="str">
        <x:v>MCAL_STAGE(A02) 开/关</x:v>
      </x:c>
      <x:c r="M8" s="67" t="str">
        <x:v>11 路 Acc/Gyro 原始数据</x:v>
      </x:c>
      <x:c r="N8" s="67" t="str">
        <x:v>采集期间机械臂角速度接近 0</x:v>
      </x:c>
      <x:c r="O8" s="73" t="str">
        <x:v>未开始</x:v>
      </x:c>
      <x:c r="P8" s="67" t="str">
        <x:v>移动过程不采样</x:v>
      </x:c>
    </x:row>
    <x:row r="9" ht="44" customHeight="1">
      <x:c r="A9" s="71" t="str">
        <x:v>A03</x:v>
      </x:c>
      <x:c r="B9" s="71" t="str">
        <x:v>0x12（18）</x:v>
      </x:c>
      <x:c r="C9" s="71" t="str">
        <x:v>Accel 六面</x:v>
      </x:c>
      <x:c r="D9" s="67" t="str">
        <x:v>+Y 面</x:v>
      </x:c>
      <x:c r="E9" s="67" t="str">
        <x:v>重力投影到夹具 +Y；到位后保持不动</x:v>
      </x:c>
      <x:c r="F9" s="72" t="n">
        <x:v>3</x:v>
      </x:c>
      <x:c r="G9" s="72" t="n">
        <x:v>2</x:v>
      </x:c>
      <x:c r="H9" s="72" t="n">
        <x:v>3</x:v>
      </x:c>
      <x:c r="I9" s="72" t="n">
        <x:v>0</x:v>
      </x:c>
      <x:c r="J9" s="72" t="n">
        <x:f>SUM(F9:I9)</x:f>
        <x:v>8</x:v>
      </x:c>
      <x:c r="K9" s="71" t="str">
        <x:v>0x02（Accel）</x:v>
      </x:c>
      <x:c r="L9" s="67" t="str">
        <x:v>MCAL_STAGE(A03) 开/关</x:v>
      </x:c>
      <x:c r="M9" s="67" t="str">
        <x:v>11 路 Acc/Gyro 原始数据</x:v>
      </x:c>
      <x:c r="N9" s="67" t="str">
        <x:v>采集期间机械臂角速度接近 0</x:v>
      </x:c>
      <x:c r="O9" s="73" t="str">
        <x:v>未开始</x:v>
      </x:c>
      <x:c r="P9" s="67" t="str">
        <x:v>移动过程不采样</x:v>
      </x:c>
    </x:row>
    <x:row r="10" ht="44" customHeight="1">
      <x:c r="A10" s="71" t="str">
        <x:v>A04</x:v>
      </x:c>
      <x:c r="B10" s="71" t="str">
        <x:v>0x13（19）</x:v>
      </x:c>
      <x:c r="C10" s="71" t="str">
        <x:v>Accel 六面</x:v>
      </x:c>
      <x:c r="D10" s="67" t="str">
        <x:v>-Y 面</x:v>
      </x:c>
      <x:c r="E10" s="67" t="str">
        <x:v>重力投影到夹具 -Y；到位后保持不动</x:v>
      </x:c>
      <x:c r="F10" s="72" t="n">
        <x:v>3</x:v>
      </x:c>
      <x:c r="G10" s="72" t="n">
        <x:v>2</x:v>
      </x:c>
      <x:c r="H10" s="72" t="n">
        <x:v>3</x:v>
      </x:c>
      <x:c r="I10" s="72" t="n">
        <x:v>0</x:v>
      </x:c>
      <x:c r="J10" s="72" t="n">
        <x:f>SUM(F10:I10)</x:f>
        <x:v>8</x:v>
      </x:c>
      <x:c r="K10" s="71" t="str">
        <x:v>0x02（Accel）</x:v>
      </x:c>
      <x:c r="L10" s="67" t="str">
        <x:v>MCAL_STAGE(A04) 开/关</x:v>
      </x:c>
      <x:c r="M10" s="67" t="str">
        <x:v>11 路 Acc/Gyro 原始数据</x:v>
      </x:c>
      <x:c r="N10" s="67" t="str">
        <x:v>采集期间机械臂角速度接近 0</x:v>
      </x:c>
      <x:c r="O10" s="73" t="str">
        <x:v>未开始</x:v>
      </x:c>
      <x:c r="P10" s="67" t="str">
        <x:v>移动过程不采样</x:v>
      </x:c>
    </x:row>
    <x:row r="11" ht="44" customHeight="1">
      <x:c r="A11" s="71" t="str">
        <x:v>A05</x:v>
      </x:c>
      <x:c r="B11" s="71" t="str">
        <x:v>0x14（20）</x:v>
      </x:c>
      <x:c r="C11" s="71" t="str">
        <x:v>Accel 六面</x:v>
      </x:c>
      <x:c r="D11" s="67" t="str">
        <x:v>+Z 面</x:v>
      </x:c>
      <x:c r="E11" s="67" t="str">
        <x:v>重力投影到夹具 +Z；到位后保持不动</x:v>
      </x:c>
      <x:c r="F11" s="72" t="n">
        <x:v>3</x:v>
      </x:c>
      <x:c r="G11" s="72" t="n">
        <x:v>2</x:v>
      </x:c>
      <x:c r="H11" s="72" t="n">
        <x:v>3</x:v>
      </x:c>
      <x:c r="I11" s="72" t="n">
        <x:v>0</x:v>
      </x:c>
      <x:c r="J11" s="72" t="n">
        <x:f>SUM(F11:I11)</x:f>
        <x:v>8</x:v>
      </x:c>
      <x:c r="K11" s="71" t="str">
        <x:v>0x02（Accel）</x:v>
      </x:c>
      <x:c r="L11" s="67" t="str">
        <x:v>MCAL_STAGE(A05) 开/关</x:v>
      </x:c>
      <x:c r="M11" s="67" t="str">
        <x:v>11 路 Acc/Gyro 原始数据</x:v>
      </x:c>
      <x:c r="N11" s="67" t="str">
        <x:v>采集期间机械臂角速度接近 0</x:v>
      </x:c>
      <x:c r="O11" s="73" t="str">
        <x:v>未开始</x:v>
      </x:c>
      <x:c r="P11" s="67" t="str">
        <x:v>移动过程不采样</x:v>
      </x:c>
    </x:row>
    <x:row r="12" ht="44" customHeight="1">
      <x:c r="A12" s="71" t="str">
        <x:v>A06</x:v>
      </x:c>
      <x:c r="B12" s="71" t="str">
        <x:v>0x15（21）</x:v>
      </x:c>
      <x:c r="C12" s="71" t="str">
        <x:v>Accel 六面</x:v>
      </x:c>
      <x:c r="D12" s="67" t="str">
        <x:v>-Z 面</x:v>
      </x:c>
      <x:c r="E12" s="67" t="str">
        <x:v>重力投影到夹具 -Z；到位后保持不动</x:v>
      </x:c>
      <x:c r="F12" s="72" t="n">
        <x:v>3</x:v>
      </x:c>
      <x:c r="G12" s="72" t="n">
        <x:v>2</x:v>
      </x:c>
      <x:c r="H12" s="72" t="n">
        <x:v>3</x:v>
      </x:c>
      <x:c r="I12" s="72" t="n">
        <x:v>0</x:v>
      </x:c>
      <x:c r="J12" s="72" t="n">
        <x:f>SUM(F12:I12)</x:f>
        <x:v>8</x:v>
      </x:c>
      <x:c r="K12" s="71" t="str">
        <x:v>0x02（Accel）</x:v>
      </x:c>
      <x:c r="L12" s="67" t="str">
        <x:v>MCAL_STAGE(A06) 开/关</x:v>
      </x:c>
      <x:c r="M12" s="67" t="str">
        <x:v>11 路 Acc/Gyro 原始数据</x:v>
      </x:c>
      <x:c r="N12" s="67" t="str">
        <x:v>采集期间机械臂角速度接近 0</x:v>
      </x:c>
      <x:c r="O12" s="73" t="str">
        <x:v>未开始</x:v>
      </x:c>
      <x:c r="P12" s="67" t="str">
        <x:v>移动过程不采样</x:v>
      </x:c>
    </x:row>
    <x:row r="13" ht="44" customHeight="1">
      <x:c r="A13" s="71" t="str">
        <x:v>G01</x:v>
      </x:c>
      <x:c r="B13" s="71" t="str">
        <x:v>0x20（32）</x:v>
      </x:c>
      <x:c r="C13" s="71" t="str">
        <x:v>Gyro M</x:v>
      </x:c>
      <x:c r="D13" s="67" t="str">
        <x:v>+X，15 deg/s</x:v>
      </x:c>
      <x:c r="E13" s="67" t="str">
        <x:v>从 X 负向 75° 预置，匀速转至 X 正向 75°；仅匀速平台记录，随后回 X 中位</x:v>
      </x:c>
      <x:c r="F13" s="72" t="n">
        <x:v>2</x:v>
      </x:c>
      <x:c r="G13" s="72" t="n">
        <x:v>1</x:v>
      </x:c>
      <x:c r="H13" s="72" t="n">
        <x:v>10</x:v>
      </x:c>
      <x:c r="I13" s="72" t="n">
        <x:v>2</x:v>
      </x:c>
      <x:c r="J13" s="72" t="n">
        <x:f>SUM(F13:I13)</x:f>
        <x:v>15</x:v>
      </x:c>
      <x:c r="K13" s="71" t="str">
        <x:v>0x04（Gyro）</x:v>
      </x:c>
      <x:c r="L13" s="67" t="str">
        <x:v>进入匀速后 MCAL_STAGE(G01) 开；到终点前关</x:v>
      </x:c>
      <x:c r="M13" s="67" t="str">
        <x:v>type=9/11、实际角速度、阶段标记</x:v>
      </x:c>
      <x:c r="N13" s="67" t="str">
        <x:v>15 deg/s 稳定；无夹具滑动；加减速不采样</x:v>
      </x:c>
      <x:c r="O13" s="73" t="str">
        <x:v>未开始</x:v>
      </x:c>
      <x:c r="P13" s="67" t="str">
        <x:v>关闭阶段后再回中，避免跨阶段半窗口污染</x:v>
      </x:c>
    </x:row>
    <x:row r="14" ht="44" customHeight="1">
      <x:c r="A14" s="71" t="str">
        <x:v>G02</x:v>
      </x:c>
      <x:c r="B14" s="71" t="str">
        <x:v>0x21（33）</x:v>
      </x:c>
      <x:c r="C14" s="71" t="str">
        <x:v>Gyro M</x:v>
      </x:c>
      <x:c r="D14" s="67" t="str">
        <x:v>-X，15 deg/s</x:v>
      </x:c>
      <x:c r="E14" s="67" t="str">
        <x:v>从 X 正向 75° 预置，匀速转至 X 负向 75°；仅匀速平台记录，随后回 X 中位</x:v>
      </x:c>
      <x:c r="F14" s="72" t="n">
        <x:v>2</x:v>
      </x:c>
      <x:c r="G14" s="72" t="n">
        <x:v>1</x:v>
      </x:c>
      <x:c r="H14" s="72" t="n">
        <x:v>10</x:v>
      </x:c>
      <x:c r="I14" s="72" t="n">
        <x:v>2</x:v>
      </x:c>
      <x:c r="J14" s="72" t="n">
        <x:f>SUM(F14:I14)</x:f>
        <x:v>15</x:v>
      </x:c>
      <x:c r="K14" s="71" t="str">
        <x:v>0x04（Gyro）</x:v>
      </x:c>
      <x:c r="L14" s="67" t="str">
        <x:v>进入匀速后 MCAL_STAGE(G02) 开；到终点前关</x:v>
      </x:c>
      <x:c r="M14" s="67" t="str">
        <x:v>type=9/11、实际角速度、阶段标记</x:v>
      </x:c>
      <x:c r="N14" s="67" t="str">
        <x:v>15 deg/s 稳定；无夹具滑动；加减速不采样</x:v>
      </x:c>
      <x:c r="O14" s="73" t="str">
        <x:v>未开始</x:v>
      </x:c>
      <x:c r="P14" s="67" t="str">
        <x:v>关闭阶段后再回中，避免跨阶段半窗口污染</x:v>
      </x:c>
    </x:row>
    <x:row r="15" ht="44" customHeight="1">
      <x:c r="A15" s="71" t="str">
        <x:v>G03</x:v>
      </x:c>
      <x:c r="B15" s="71" t="str">
        <x:v>0x22（34）</x:v>
      </x:c>
      <x:c r="C15" s="71" t="str">
        <x:v>Gyro M</x:v>
      </x:c>
      <x:c r="D15" s="67" t="str">
        <x:v>+Y，15 deg/s</x:v>
      </x:c>
      <x:c r="E15" s="67" t="str">
        <x:v>从 Y 负向 75° 预置，匀速转至 Y 正向 75°；仅匀速平台记录，随后回 Y 中位</x:v>
      </x:c>
      <x:c r="F15" s="72" t="n">
        <x:v>2</x:v>
      </x:c>
      <x:c r="G15" s="72" t="n">
        <x:v>1</x:v>
      </x:c>
      <x:c r="H15" s="72" t="n">
        <x:v>10</x:v>
      </x:c>
      <x:c r="I15" s="72" t="n">
        <x:v>2</x:v>
      </x:c>
      <x:c r="J15" s="72" t="n">
        <x:f>SUM(F15:I15)</x:f>
        <x:v>15</x:v>
      </x:c>
      <x:c r="K15" s="71" t="str">
        <x:v>0x04（Gyro）</x:v>
      </x:c>
      <x:c r="L15" s="67" t="str">
        <x:v>进入匀速后 MCAL_STAGE(G03) 开；到终点前关</x:v>
      </x:c>
      <x:c r="M15" s="67" t="str">
        <x:v>type=9/11、实际角速度、阶段标记</x:v>
      </x:c>
      <x:c r="N15" s="67" t="str">
        <x:v>15 deg/s 稳定；无夹具滑动；加减速不采样</x:v>
      </x:c>
      <x:c r="O15" s="73" t="str">
        <x:v>未开始</x:v>
      </x:c>
      <x:c r="P15" s="67" t="str">
        <x:v>关闭阶段后再回中，避免跨阶段半窗口污染</x:v>
      </x:c>
    </x:row>
    <x:row r="16" ht="44" customHeight="1">
      <x:c r="A16" s="71" t="str">
        <x:v>G04</x:v>
      </x:c>
      <x:c r="B16" s="71" t="str">
        <x:v>0x23（35）</x:v>
      </x:c>
      <x:c r="C16" s="71" t="str">
        <x:v>Gyro M</x:v>
      </x:c>
      <x:c r="D16" s="67" t="str">
        <x:v>-Y，15 deg/s</x:v>
      </x:c>
      <x:c r="E16" s="67" t="str">
        <x:v>从 Y 正向 75° 预置，匀速转至 Y 负向 75°；仅匀速平台记录，随后回 Y 中位</x:v>
      </x:c>
      <x:c r="F16" s="72" t="n">
        <x:v>2</x:v>
      </x:c>
      <x:c r="G16" s="72" t="n">
        <x:v>1</x:v>
      </x:c>
      <x:c r="H16" s="72" t="n">
        <x:v>10</x:v>
      </x:c>
      <x:c r="I16" s="72" t="n">
        <x:v>2</x:v>
      </x:c>
      <x:c r="J16" s="72" t="n">
        <x:f>SUM(F16:I16)</x:f>
        <x:v>15</x:v>
      </x:c>
      <x:c r="K16" s="71" t="str">
        <x:v>0x04（Gyro）</x:v>
      </x:c>
      <x:c r="L16" s="67" t="str">
        <x:v>进入匀速后 MCAL_STAGE(G04) 开；到终点前关</x:v>
      </x:c>
      <x:c r="M16" s="67" t="str">
        <x:v>type=9/11、实际角速度、阶段标记</x:v>
      </x:c>
      <x:c r="N16" s="67" t="str">
        <x:v>15 deg/s 稳定；无夹具滑动；加减速不采样</x:v>
      </x:c>
      <x:c r="O16" s="73" t="str">
        <x:v>未开始</x:v>
      </x:c>
      <x:c r="P16" s="67" t="str">
        <x:v>关闭阶段后再回中，避免跨阶段半窗口污染</x:v>
      </x:c>
    </x:row>
    <x:row r="17" ht="44" customHeight="1">
      <x:c r="A17" s="71" t="str">
        <x:v>G05</x:v>
      </x:c>
      <x:c r="B17" s="71" t="str">
        <x:v>0x24（36）</x:v>
      </x:c>
      <x:c r="C17" s="71" t="str">
        <x:v>Gyro M</x:v>
      </x:c>
      <x:c r="D17" s="67" t="str">
        <x:v>+Z（Yaw），15 deg/s</x:v>
      </x:c>
      <x:c r="E17" s="67" t="str">
        <x:v>从 Yaw 负向安全位转至正向安全位；采集严格使用限位表计算的可用窗口，随后回 0°</x:v>
      </x:c>
      <x:c r="F17" s="72" t="n">
        <x:v>2</x:v>
      </x:c>
      <x:c r="G17" s="72" t="n">
        <x:v>1</x:v>
      </x:c>
      <x:c r="H17" s="72" t="n">
        <x:v>5.3</x:v>
      </x:c>
      <x:c r="I17" s="72" t="n">
        <x:v>2</x:v>
      </x:c>
      <x:c r="J17" s="72" t="n">
        <x:f>SUM(F17:I17)</x:f>
        <x:v>10.3</x:v>
      </x:c>
      <x:c r="K17" s="71" t="str">
        <x:v>0x04（Gyro）</x:v>
      </x:c>
      <x:c r="L17" s="67" t="str">
        <x:v>进入匀速后 MCAL_STAGE(G05) 开；到终点前关</x:v>
      </x:c>
      <x:c r="M17" s="67" t="str">
        <x:v>type=9/11、实际角速度、Yaw 位置</x:v>
      </x:c>
      <x:c r="N17" s="67" t="str">
        <x:v>限位参数通过；不越过安全位；加减速不采样</x:v>
      </x:c>
      <x:c r="O17" s="73" t="str">
        <x:v>未开始</x:v>
      </x:c>
      <x:c r="P17" s="67" t="str">
        <x:v>当前有效窗口 5.3 s；如限位变化，先改“限位与参数”</x:v>
      </x:c>
    </x:row>
    <x:row r="18" ht="44" customHeight="1">
      <x:c r="A18" s="71" t="str">
        <x:v>G06</x:v>
      </x:c>
      <x:c r="B18" s="71" t="str">
        <x:v>0x25（37）</x:v>
      </x:c>
      <x:c r="C18" s="71" t="str">
        <x:v>Gyro M</x:v>
      </x:c>
      <x:c r="D18" s="67" t="str">
        <x:v>-Z（Yaw），15 deg/s</x:v>
      </x:c>
      <x:c r="E18" s="67" t="str">
        <x:v>从 Yaw 正向安全位转至负向安全位；采集严格使用限位表计算的可用窗口，随后回 0°</x:v>
      </x:c>
      <x:c r="F18" s="72" t="n">
        <x:v>2</x:v>
      </x:c>
      <x:c r="G18" s="72" t="n">
        <x:v>1</x:v>
      </x:c>
      <x:c r="H18" s="72" t="n">
        <x:v>5.3</x:v>
      </x:c>
      <x:c r="I18" s="72" t="n">
        <x:v>2</x:v>
      </x:c>
      <x:c r="J18" s="72" t="n">
        <x:f>SUM(F18:I18)</x:f>
        <x:v>10.3</x:v>
      </x:c>
      <x:c r="K18" s="71" t="str">
        <x:v>0x04（Gyro）</x:v>
      </x:c>
      <x:c r="L18" s="67" t="str">
        <x:v>进入匀速后 MCAL_STAGE(G06) 开；到终点前关</x:v>
      </x:c>
      <x:c r="M18" s="67" t="str">
        <x:v>type=9/11、实际角速度、Yaw 位置</x:v>
      </x:c>
      <x:c r="N18" s="67" t="str">
        <x:v>限位参数通过；不越过安全位；加减速不采样</x:v>
      </x:c>
      <x:c r="O18" s="73" t="str">
        <x:v>未开始</x:v>
      </x:c>
      <x:c r="P18" s="67" t="str">
        <x:v>当前有效窗口 5.3 s；如限位变化，先改“限位与参数”</x:v>
      </x:c>
    </x:row>
    <x:row r="19" ht="44" customHeight="1">
      <x:c r="A19" s="74" t="str">
        <x:v>M01</x:v>
      </x:c>
      <x:c r="B19" s="74" t="str">
        <x:v>0x30（48）</x:v>
      </x:c>
      <x:c r="C19" s="74" t="str">
        <x:v>磁标定</x:v>
      </x:c>
      <x:c r="D19" s="75" t="str">
        <x:v>Roll/Pitch 三维场覆盖，Yaw 中位</x:v>
      </x:c>
      <x:c r="E19" s="75" t="str">
        <x:v>Yaw 保持 0°附近；Roll/Pitch 连续大角度、非单平面翻转；覆盖正负方向</x:v>
      </x:c>
      <x:c r="F19" s="76" t="n">
        <x:v>2</x:v>
      </x:c>
      <x:c r="G19" s="76" t="n">
        <x:v>1</x:v>
      </x:c>
      <x:c r="H19" s="76" t="n">
        <x:v>40</x:v>
      </x:c>
      <x:c r="I19" s="76" t="n">
        <x:v>2</x:v>
      </x:c>
      <x:c r="J19" s="76" t="n">
        <x:f>SUM(F19:I19)</x:f>
        <x:v>45</x:v>
      </x:c>
      <x:c r="K19" s="74" t="str">
        <x:v>0x08（Mag）</x:v>
      </x:c>
      <x:c r="L19" s="75" t="str">
        <x:v>MCAL_STAGE(M01) 开/关</x:v>
      </x:c>
      <x:c r="M19" s="75" t="str">
        <x:v>掌心磁场、type=10/12、M01 标记</x:v>
      </x:c>
      <x:c r="N19" s="75" t="str">
        <x:v>MMC5983MA X/Y/Z 均有明显 span；无磁环境突变</x:v>
      </x:c>
      <x:c r="O19" s="74" t="str">
        <x:v>未开始</x:v>
      </x:c>
      <x:c r="P19" s="75" t="str">
        <x:v>不接近机器人金属臂、治具铁件或磁性工具</x:v>
      </x:c>
    </x:row>
    <x:row r="20" ht="44" customHeight="1">
      <x:c r="A20" s="74" t="str">
        <x:v>M02</x:v>
      </x:c>
      <x:c r="B20" s="74" t="str">
        <x:v>0x31（49）</x:v>
      </x:c>
      <x:c r="C20" s="74" t="str">
        <x:v>磁标定</x:v>
      </x:c>
      <x:c r="D20" s="75" t="str">
        <x:v>Yaw 正向摆动，保持倾斜</x:v>
      </x:c>
      <x:c r="E20" s="75" t="str">
        <x:v>先将 Pitch 固定在 +45°；Yaw 从 0°缓慢摆向正向安全位并回 0°</x:v>
      </x:c>
      <x:c r="F20" s="76" t="n">
        <x:v>2</x:v>
      </x:c>
      <x:c r="G20" s="76" t="n">
        <x:v>1</x:v>
      </x:c>
      <x:c r="H20" s="76" t="n">
        <x:v>10</x:v>
      </x:c>
      <x:c r="I20" s="76" t="n">
        <x:v>2</x:v>
      </x:c>
      <x:c r="J20" s="76" t="n">
        <x:f>SUM(F20:I20)</x:f>
        <x:v>15</x:v>
      </x:c>
      <x:c r="K20" s="74" t="str">
        <x:v>0x08（Mag）</x:v>
      </x:c>
      <x:c r="L20" s="75" t="str">
        <x:v>MCAL_STAGE(M02) 开/关</x:v>
      </x:c>
      <x:c r="M20" s="75" t="str">
        <x:v>掌心磁场、type=10/12、Yaw 位置</x:v>
      </x:c>
      <x:c r="N20" s="75" t="str">
        <x:v>不越限；SET/RESET 连续；不在单一平面停留</x:v>
      </x:c>
      <x:c r="O20" s="74" t="str">
        <x:v>未开始</x:v>
      </x:c>
      <x:c r="P20" s="75" t="str">
        <x:v>倾斜后做 Yaw，避免纯水平 Yaw 覆盖不足</x:v>
      </x:c>
    </x:row>
    <x:row r="21" ht="44" customHeight="1">
      <x:c r="A21" s="74" t="str">
        <x:v>M03</x:v>
      </x:c>
      <x:c r="B21" s="74" t="str">
        <x:v>0x32（50）</x:v>
      </x:c>
      <x:c r="C21" s="74" t="str">
        <x:v>磁标定</x:v>
      </x:c>
      <x:c r="D21" s="75" t="str">
        <x:v>Yaw 负向摆动，保持相反倾斜</x:v>
      </x:c>
      <x:c r="E21" s="75" t="str">
        <x:v>先将 Pitch 固定在 -45°；Yaw 从 0°缓慢摆向负向安全位并回 0°</x:v>
      </x:c>
      <x:c r="F21" s="76" t="n">
        <x:v>2</x:v>
      </x:c>
      <x:c r="G21" s="76" t="n">
        <x:v>1</x:v>
      </x:c>
      <x:c r="H21" s="76" t="n">
        <x:v>10</x:v>
      </x:c>
      <x:c r="I21" s="76" t="n">
        <x:v>2</x:v>
      </x:c>
      <x:c r="J21" s="76" t="n">
        <x:f>SUM(F21:I21)</x:f>
        <x:v>15</x:v>
      </x:c>
      <x:c r="K21" s="74" t="str">
        <x:v>0x08（Mag）</x:v>
      </x:c>
      <x:c r="L21" s="75" t="str">
        <x:v>MCAL_STAGE(M03) 开/关</x:v>
      </x:c>
      <x:c r="M21" s="75" t="str">
        <x:v>掌心磁场、type=10/12、Yaw 位置</x:v>
      </x:c>
      <x:c r="N21" s="75" t="str">
        <x:v>不越限；SET/RESET 连续；不在单一平面停留</x:v>
      </x:c>
      <x:c r="O21" s="74" t="str">
        <x:v>未开始</x:v>
      </x:c>
      <x:c r="P21" s="75" t="str">
        <x:v>与 M02 共同补足三维场覆盖</x:v>
      </x:c>
    </x:row>
    <x:row r="22" ht="44" customHeight="1">
      <x:c r="A22" s="74" t="str">
        <x:v>M04</x:v>
      </x:c>
      <x:c r="B22" s="74" t="str">
        <x:v>0x33（51）</x:v>
      </x:c>
      <x:c r="C22" s="74" t="str">
        <x:v>磁标定</x:v>
      </x:c>
      <x:c r="D22" s="75" t="str">
        <x:v>回中静态基准与阶段收尾</x:v>
      </x:c>
      <x:c r="E22" s="75" t="str">
        <x:v>Yaw/Pitch/Roll 回到 0°；保持静止并确认线束无受力</x:v>
      </x:c>
      <x:c r="F22" s="76" t="n">
        <x:v>0</x:v>
      </x:c>
      <x:c r="G22" s="76" t="n">
        <x:v>0</x:v>
      </x:c>
      <x:c r="H22" s="76" t="n">
        <x:v>5</x:v>
      </x:c>
      <x:c r="I22" s="76" t="n">
        <x:v>0</x:v>
      </x:c>
      <x:c r="J22" s="76" t="n">
        <x:f>SUM(F22:I22)</x:f>
        <x:v>5</x:v>
      </x:c>
      <x:c r="K22" s="74" t="str">
        <x:v>0x08（Mag）</x:v>
      </x:c>
      <x:c r="L22" s="75" t="str">
        <x:v>MCAL_STAGE(M04) 开/关；关闭后才允许 COMMIT</x:v>
      </x:c>
      <x:c r="M22" s="75" t="str">
        <x:v>最后磁场样本、姿态、阶段关闭 ACK</x:v>
      </x:c>
      <x:c r="N22" s="75" t="str">
        <x:v>M01-M04 全部关闭成功；磁场无突变</x:v>
      </x:c>
      <x:c r="O22" s="74" t="str">
        <x:v>未开始</x:v>
      </x:c>
      <x:c r="P22" s="75" t="str">
        <x:v>M04 必须使用 0x08 完成协议阶段；不是主要覆盖段</x:v>
      </x:c>
    </x:row>
    <x:row r="23" ht="44" customHeight="1">
      <x:c r="A23" s="71" t="str">
        <x:v>S01</x:v>
      </x:c>
      <x:c r="B23" s="71" t="str">
        <x:v>COMMIT</x:v>
      </x:c>
      <x:c r="C23" s="71" t="str">
        <x:v>求解/写入</x:v>
      </x:c>
      <x:c r="D23" s="67" t="str">
        <x:v>求解并写入 Flash</x:v>
      </x:c>
      <x:c r="E23" s="67" t="str">
        <x:v>机械臂安全静止；P1/A/G/M 全部完成</x:v>
      </x:c>
      <x:c r="F23" s="72" t="n">
        <x:v>0</x:v>
      </x:c>
      <x:c r="G23" s="72" t="n">
        <x:v>0</x:v>
      </x:c>
      <x:c r="H23" s="72" t="n">
        <x:v>0</x:v>
      </x:c>
      <x:c r="I23" s="72" t="n">
        <x:v>60</x:v>
      </x:c>
      <x:c r="J23" s="72" t="n">
        <x:f>SUM(F23:I23)</x:f>
        <x:v>60</x:v>
      </x:c>
      <x:c r="K23" s="71" t="str">
        <x:v>—</x:v>
      </x:c>
      <x:c r="L23" s="67" t="str">
        <x:v>MCAL_COMMIT；接收 ACK 与最终报告</x:v>
      </x:c>
      <x:c r="M23" s="67" t="str">
        <x:v>type=7、mag solve、Flash ACK、calSeq</x:v>
      </x:c>
      <x:c r="N23" s="67" t="str">
        <x:v>Gyro 11/11；Accel 11/11；Mag 通过；Flash 写入并回读</x:v>
      </x:c>
      <x:c r="O23" s="73" t="str">
        <x:v>未开始</x:v>
      </x:c>
      <x:c r="P23" s="67" t="str">
        <x:v>失败时禁止覆盖已知合格参数</x:v>
      </x:c>
    </x:row>
    <x:row r="24" ht="44" customHeight="1">
      <x:c r="A24" s="71" t="str">
        <x:v>S02</x:v>
      </x:c>
      <x:c r="B24" s="71" t="str">
        <x:v>—</x:v>
      </x:c>
      <x:c r="C24" s="71" t="str">
        <x:v>归档</x:v>
      </x:c>
      <x:c r="D24" s="67" t="str">
        <x:v>回安全位并保存记录</x:v>
      </x:c>
      <x:c r="E24" s="67" t="str">
        <x:v>收到最终通过/失败结果</x:v>
      </x:c>
      <x:c r="F24" s="72" t="n">
        <x:v>15</x:v>
      </x:c>
      <x:c r="G24" s="72" t="n">
        <x:v>0</x:v>
      </x:c>
      <x:c r="H24" s="72" t="n">
        <x:v>0</x:v>
      </x:c>
      <x:c r="I24" s="72" t="n">
        <x:v>0</x:v>
      </x:c>
      <x:c r="J24" s="72" t="n">
        <x:f>SUM(F24:I24)</x:f>
        <x:v>15</x:v>
      </x:c>
      <x:c r="K24" s="71" t="str">
        <x:v>—</x:v>
      </x:c>
      <x:c r="L24" s="67" t="str">
        <x:v>保存 raw CSV、stage markers、result/session 文件</x:v>
      </x:c>
      <x:c r="M24" s="67" t="str">
        <x:v>全量原始数据、版本、SN、工位、结果</x:v>
      </x:c>
      <x:c r="N24" s="67" t="str">
        <x:v>文件完整且可追溯</x:v>
      </x:c>
      <x:c r="O24" s="73" t="str">
        <x:v>未开始</x:v>
      </x:c>
      <x:c r="P24" s="67" t="str">
        <x:v>完成后才释放工件</x:v>
      </x:c>
    </x:row>
    <x:row r="25" ht="24" customHeight="1">
      <x:c r="A25" s="77" t="str">
        <x:v>总计（可调整 F:I 列后自动重算）</x:v>
      </x:c>
      <x:c r="B25" s="77" t="str">
        <x:v>总计（可调整 F:I 列后自动重算）</x:v>
      </x:c>
      <x:c r="C25" s="77" t="str">
        <x:v>总计（可调整 F:I 列后自动重算）</x:v>
      </x:c>
      <x:c r="D25" s="77" t="str">
        <x:v>总计（可调整 F:I 列后自动重算）</x:v>
      </x:c>
      <x:c r="E25" s="77" t="str">
        <x:v>总计（可调整 F:I 列后自动重算）</x:v>
      </x:c>
      <x:c r="F25" s="77" t="str">
        <x:v>总计（可调整 F:I 列后自动重算）</x:v>
      </x:c>
      <x:c r="G25" s="77" t="str">
        <x:v>总计（可调整 F:I 列后自动重算）</x:v>
      </x:c>
      <x:c r="H25" s="77" t="str">
        <x:v>总计（可调整 F:I 列后自动重算）</x:v>
      </x:c>
      <x:c r="I25" s="77" t="str">
        <x:v>总计（可调整 F:I 列后自动重算）</x:v>
      </x:c>
      <x:c r="J25" s="78" t="n">
        <x:f>SUM(J5:J24)</x:f>
        <x:v>315.6</x:v>
      </x:c>
      <x:c r="K25" s="79" t="str">
        <x:v>总时长含预置、回中、提交和归档；不含人工装夹与异常重试。M01-M04 仅可在磁标定固件上执行。</x:v>
      </x:c>
      <x:c r="L25" s="79" t="str">
        <x:v>总时长含预置、回中、提交和归档；不含人工装夹与异常重试。M01-M04 仅可在磁标定固件上执行。</x:v>
      </x:c>
      <x:c r="M25" s="79" t="str">
        <x:v>总时长含预置、回中、提交和归档；不含人工装夹与异常重试。M01-M04 仅可在磁标定固件上执行。</x:v>
      </x:c>
      <x:c r="N25" s="79" t="str">
        <x:v>总时长含预置、回中、提交和归档；不含人工装夹与异常重试。M01-M04 仅可在磁标定固件上执行。</x:v>
      </x:c>
      <x:c r="O25" s="79" t="str">
        <x:v>总时长含预置、回中、提交和归档；不含人工装夹与异常重试。M01-M04 仅可在磁标定固件上执行。</x:v>
      </x:c>
      <x:c r="P25" s="79" t="str">
        <x:v>总时长含预置、回中、提交和归档；不含人工装夹与异常重试。M01-M04 仅可在磁标定固件上执行。</x:v>
      </x:c>
    </x:row>
  </x:sheetData>
  <x:mergeCells>
    <x:mergeCell ref="A1:P1"/>
    <x:mergeCell ref="A2:P2"/>
    <x:mergeCell ref="A3:P3"/>
    <x:mergeCell ref="A25:I25"/>
    <x:mergeCell ref="K25:P25"/>
  </x:mergeCells>
  <x:conditionalFormatting sqref="O5:O24">
    <x:cfRule type="containsText" dxfId="0" priority="1" operator="containsText" text="完成"/>
    <x:cfRule type="containsText" dxfId="1" priority="2" operator="containsText" text="失败"/>
    <x:cfRule type="containsText" dxfId="2" priority="3" operator="containsText" text="进行中"/>
  </x:conditionalFormatting>
  <x:dataValidations count="1">
    <x:dataValidation type="list" sqref="O5:O24">
      <x:formula1>"未开始,进行中,完成,失败,跳过"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2" hidden="0" customWidth="1"/>
    <x:col min="5" max="5" width="44" hidden="0" customWidth="1"/>
    <x:col min="6" max="6" width="29" hidden="0" customWidth="1"/>
    <x:col min="7" max="7" width="28" hidden="0" customWidth="1"/>
    <x:col min="8" max="8" width="27" hidden="0" customWidth="1"/>
  </x:cols>
  <x:sheetData>
    <x:row r="1" ht="30" customHeight="1">
      <x:c r="A1" s="80" t="str">
        <x:v>掌心磁力计磁标定规范（M01-M04）</x:v>
      </x:c>
      <x:c r="B1" s="80" t="str">
        <x:v>掌心磁力计磁标定规范（M01-M04）</x:v>
      </x:c>
      <x:c r="C1" s="80" t="str">
        <x:v>掌心磁力计磁标定规范（M01-M04）</x:v>
      </x:c>
      <x:c r="D1" s="80" t="str">
        <x:v>掌心磁力计磁标定规范（M01-M04）</x:v>
      </x:c>
      <x:c r="E1" s="80" t="str">
        <x:v>掌心磁力计磁标定规范（M01-M04）</x:v>
      </x:c>
      <x:c r="F1" s="80" t="str">
        <x:v>掌心磁力计磁标定规范（M01-M04）</x:v>
      </x:c>
      <x:c r="G1" s="80" t="str">
        <x:v>掌心磁力计磁标定规范（M01-M04）</x:v>
      </x:c>
      <x:c r="H1" s="80" t="str">
        <x:v>掌心磁力计磁标定规范（M01-M04）</x:v>
      </x:c>
    </x:row>
    <x:row r="2" ht="38" customHeight="1">
      <x:c r="A2" s="63" t="str">
        <x:v>对象为掌心 MMC5983MA（以及固件启用时的同板 BMM350 诊断槽）。M01-M04 解决硬铁偏置与对角软铁比例，不替代手套佩戴外参或人体动作标定。</x:v>
      </x:c>
      <x:c r="B2" s="63" t="str">
        <x:v>对象为掌心 MMC5983MA（以及固件启用时的同板 BMM350 诊断槽）。M01-M04 解决硬铁偏置与对角软铁比例，不替代手套佩戴外参或人体动作标定。</x:v>
      </x:c>
      <x:c r="C2" s="63" t="str">
        <x:v>对象为掌心 MMC5983MA（以及固件启用时的同板 BMM350 诊断槽）。M01-M04 解决硬铁偏置与对角软铁比例，不替代手套佩戴外参或人体动作标定。</x:v>
      </x:c>
      <x:c r="D2" s="63" t="str">
        <x:v>对象为掌心 MMC5983MA（以及固件启用时的同板 BMM350 诊断槽）。M01-M04 解决硬铁偏置与对角软铁比例，不替代手套佩戴外参或人体动作标定。</x:v>
      </x:c>
      <x:c r="E2" s="63" t="str">
        <x:v>对象为掌心 MMC5983MA（以及固件启用时的同板 BMM350 诊断槽）。M01-M04 解决硬铁偏置与对角软铁比例，不替代手套佩戴外参或人体动作标定。</x:v>
      </x:c>
      <x:c r="F2" s="63" t="str">
        <x:v>对象为掌心 MMC5983MA（以及固件启用时的同板 BMM350 诊断槽）。M01-M04 解决硬铁偏置与对角软铁比例，不替代手套佩戴外参或人体动作标定。</x:v>
      </x:c>
      <x:c r="G2" s="63" t="str">
        <x:v>对象为掌心 MMC5983MA（以及固件启用时的同板 BMM350 诊断槽）。M01-M04 解决硬铁偏置与对角软铁比例，不替代手套佩戴外参或人体动作标定。</x:v>
      </x:c>
      <x:c r="H2" s="63" t="str">
        <x:v>对象为掌心 MMC5983MA（以及固件启用时的同板 BMM350 诊断槽）。M01-M04 解决硬铁偏置与对角软铁比例，不替代手套佩戴外参或人体动作标定。</x:v>
      </x:c>
    </x:row>
    <x:row r="3" ht="42" customHeight="1">
      <x:c r="A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B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C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D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E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F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G3" s="64" t="str">
        <x:v>磁环境是标定对象的一部分：若机械臂金属结构、夹具、工具、线束电流或附近铁件在标定中改变相对位置，本次拟合可能把环境变化错误写入磁参数，应立即中止。</x:v>
      </x:c>
      <x:c r="H3" s="64" t="str">
        <x:v>磁环境是标定对象的一部分：若机械臂金属结构、夹具、工具、线束电流或附近铁件在标定中改变相对位置，本次拟合可能把环境变化错误写入磁参数，应立即中止。</x:v>
      </x:c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2" customHeight="1">
      <x:c r="A5" s="80" t="str">
        <x:v>阶段与控制要点</x:v>
      </x:c>
      <x:c r="B5" s="80" t="str">
        <x:v>阶段与控制要点</x:v>
      </x:c>
      <x:c r="C5" s="80" t="str">
        <x:v>阶段与控制要点</x:v>
      </x:c>
      <x:c r="D5" s="80" t="str">
        <x:v>阶段与控制要点</x:v>
      </x:c>
      <x:c r="E5" s="80" t="str">
        <x:v>阶段与控制要点</x:v>
      </x:c>
      <x:c r="F5" s="80" t="str">
        <x:v>阶段与控制要点</x:v>
      </x:c>
      <x:c r="G5" s="80" t="str">
        <x:v>阶段与控制要点</x:v>
      </x:c>
      <x:c r="H5" s="80" t="str">
        <x:v>阶段与控制要点</x:v>
      </x:c>
    </x:row>
    <x:row r="6">
      <x:c r="A6" s="81" t="str">
        <x:v>阶段</x:v>
      </x:c>
      <x:c r="B6" s="81" t="str">
        <x:v>协议</x:v>
      </x:c>
      <x:c r="C6" s="81" t="str">
        <x:v>掩码</x:v>
      </x:c>
      <x:c r="D6" s="81" t="str">
        <x:v>有效采集</x:v>
      </x:c>
      <x:c r="E6" s="81" t="str">
        <x:v>机械臂动作</x:v>
      </x:c>
      <x:c r="F6" s="81" t="str">
        <x:v>磁场覆盖目标</x:v>
      </x:c>
      <x:c r="G6" s="81" t="str">
        <x:v>禁止事项</x:v>
      </x:c>
      <x:c r="H6" s="81" t="str">
        <x:v>阶段完成条件</x:v>
      </x:c>
    </x:row>
    <x:row r="7" ht="54" customHeight="1">
      <x:c r="A7" s="71" t="str">
        <x:v>M01</x:v>
      </x:c>
      <x:c r="B7" s="71" t="str">
        <x:v>0x30（48）</x:v>
      </x:c>
      <x:c r="C7" s="71" t="str">
        <x:v>0x08（Mag）</x:v>
      </x:c>
      <x:c r="D7" s="71" t="n">
        <x:v>40</x:v>
      </x:c>
      <x:c r="E7" s="67" t="str">
        <x:v>Yaw 约 0°；执行 Roll/Pitch 连续三维大角度翻转</x:v>
      </x:c>
      <x:c r="F7" s="67" t="str">
        <x:v>让 X/Y/Z 三轴均跨越正负方向，形成主体球面覆盖</x:v>
      </x:c>
      <x:c r="G7" s="67" t="str">
        <x:v>单平面反复、机器人铁件靠近掌心、快速启停</x:v>
      </x:c>
      <x:c r="H7" s="67" t="str">
        <x:v>原始磁数据连续；各轴 span 明显</x:v>
      </x:c>
    </x:row>
    <x:row r="8" ht="54" customHeight="1">
      <x:c r="A8" s="71" t="str">
        <x:v>M02</x:v>
      </x:c>
      <x:c r="B8" s="71" t="str">
        <x:v>0x31（49）</x:v>
      </x:c>
      <x:c r="C8" s="71" t="str">
        <x:v>0x08（Mag）</x:v>
      </x:c>
      <x:c r="D8" s="71" t="n">
        <x:v>10</x:v>
      </x:c>
      <x:c r="E8" s="67" t="str">
        <x:v>Pitch=+45°，Yaw 缓慢向正安全位摆动再回中</x:v>
      </x:c>
      <x:c r="F8" s="67" t="str">
        <x:v>补足倾斜姿态下的 Yaw 场向量变化</x:v>
      </x:c>
      <x:c r="G8" s="67" t="str">
        <x:v>纯水平 Yaw、越过安全位、负载切换</x:v>
      </x:c>
      <x:c r="H8" s="67" t="str">
        <x:v>SET/RESET 连续；无场强突变</x:v>
      </x:c>
    </x:row>
    <x:row r="9" ht="54" customHeight="1">
      <x:c r="A9" s="71" t="str">
        <x:v>M03</x:v>
      </x:c>
      <x:c r="B9" s="71" t="str">
        <x:v>0x32（50）</x:v>
      </x:c>
      <x:c r="C9" s="71" t="str">
        <x:v>0x08（Mag）</x:v>
      </x:c>
      <x:c r="D9" s="71" t="n">
        <x:v>10</x:v>
      </x:c>
      <x:c r="E9" s="67" t="str">
        <x:v>Pitch=-45°，Yaw 缓慢向负安全位摆动再回中</x:v>
      </x:c>
      <x:c r="F9" s="67" t="str">
        <x:v>与 M02 形成相反倾斜覆盖</x:v>
      </x:c>
      <x:c r="G9" s="67" t="str">
        <x:v>纯水平 Yaw、越过安全位、负载切换</x:v>
      </x:c>
      <x:c r="H9" s="67" t="str">
        <x:v>SET/RESET 连续；无场强突变</x:v>
      </x:c>
    </x:row>
    <x:row r="10" ht="54" customHeight="1">
      <x:c r="A10" s="71" t="str">
        <x:v>M04</x:v>
      </x:c>
      <x:c r="B10" s="71" t="str">
        <x:v>0x33（51）</x:v>
      </x:c>
      <x:c r="C10" s="71" t="str">
        <x:v>0x08（Mag）</x:v>
      </x:c>
      <x:c r="D10" s="71" t="n">
        <x:v>5</x:v>
      </x:c>
      <x:c r="E10" s="67" t="str">
        <x:v>回 Roll/Pitch/Yaw 0°并静止</x:v>
      </x:c>
      <x:c r="F10" s="67" t="str">
        <x:v>协议收尾与静态基准；不承担主要极值覆盖</x:v>
      </x:c>
      <x:c r="G10" s="67" t="str">
        <x:v>跳过 0x08 或未关闭阶段即 COMMIT</x:v>
      </x:c>
      <x:c r="H10" s="67" t="str">
        <x:v>M01-M04 均正常关闭；姿态已回中</x:v>
      </x:c>
    </x:row>
    <x:row r="11">
      <x:c r="A11" s="65"/>
      <x:c r="B11" s="65"/>
      <x:c r="C11" s="65"/>
      <x:c r="D11" s="65"/>
      <x:c r="E11" s="65"/>
      <x:c r="F11" s="65"/>
      <x:c r="G11" s="65"/>
      <x:c r="H11" s="65"/>
    </x:row>
    <x:row r="12" ht="22" customHeight="1">
      <x:c r="A12" s="80" t="str">
        <x:v>环境、固件与质量门限</x:v>
      </x:c>
      <x:c r="B12" s="80" t="str">
        <x:v>环境、固件与质量门限</x:v>
      </x:c>
      <x:c r="C12" s="80" t="str">
        <x:v>环境、固件与质量门限</x:v>
      </x:c>
      <x:c r="D12" s="80" t="str">
        <x:v>环境、固件与质量门限</x:v>
      </x:c>
      <x:c r="E12" s="80" t="str">
        <x:v>环境、固件与质量门限</x:v>
      </x:c>
      <x:c r="F12" s="80" t="str">
        <x:v>环境、固件与质量门限</x:v>
      </x:c>
      <x:c r="G12" s="80" t="str">
        <x:v>环境、固件与质量门限</x:v>
      </x:c>
      <x:c r="H12" s="80" t="str">
        <x:v>环境、固件与质量门限</x:v>
      </x:c>
    </x:row>
    <x:row r="13">
      <x:c r="A13" s="81" t="str">
        <x:v>项目</x:v>
      </x:c>
      <x:c r="B13" s="81" t="str">
        <x:v>要求 / 门限</x:v>
      </x:c>
      <x:c r="C13" s="81" t="str">
        <x:v>依据与处理</x:v>
      </x:c>
      <x:c r="D13" s="81" t="str">
        <x:v>记录字段</x:v>
      </x:c>
      <x:c r="E13" s="81" t="str">
        <x:v>项目</x:v>
      </x:c>
      <x:c r="F13" s="81" t="str">
        <x:v>要求 / 门限</x:v>
      </x:c>
      <x:c r="G13" s="81" t="str">
        <x:v>依据与处理</x:v>
      </x:c>
      <x:c r="H13" s="81" t="str">
        <x:v>记录字段</x:v>
      </x:c>
    </x:row>
    <x:row r="14" ht="45" customHeight="1">
      <x:c r="A14" s="82" t="str">
        <x:v>固件</x:v>
      </x:c>
      <x:c r="B14" s="67" t="str">
        <x:v>FACTORY_REQUIRE_MAG_STAGE=1；ENABLE_MAG=1</x:v>
      </x:c>
      <x:c r="C14" s="67" t="str">
        <x:v>r024 无磁版不可执行 M 阶段提交</x:v>
      </x:c>
      <x:c r="D14" s="67" t="str">
        <x:v>版本号、features、构建标签</x:v>
      </x:c>
      <x:c r="E14" s="82" t="str">
        <x:v>磁传感器</x:v>
      </x:c>
      <x:c r="F14" s="67" t="str">
        <x:v>MMC5983MA PRODUCT_ID=0x30 且连续数据有效</x:v>
      </x:c>
      <x:c r="G14" s="67" t="str">
        <x:v>未在线或读数异常时不进入 M01</x:v>
      </x:c>
      <x:c r="H14" s="67" t="str">
        <x:v>在线状态、type=10/12</x:v>
      </x:c>
    </x:row>
    <x:row r="15" ht="45" customHeight="1">
      <x:c r="A15" s="82" t="str">
        <x:v>覆盖</x:v>
      </x:c>
      <x:c r="B15" s="67" t="str">
        <x:v>MMC anchor 每轴 span ≥400 counts</x:v>
      </x:c>
      <x:c r="C15" s="67" t="str">
        <x:v>这是当前 TriMag_CalSolve 的最低通过条件</x:v>
      </x:c>
      <x:c r="D15" s="67" t="str">
        <x:v>每轴 min/max/span</x:v>
      </x:c>
      <x:c r="E15" s="82" t="str">
        <x:v>硬铁</x:v>
      </x:c>
      <x:c r="F15" s="67" t="str">
        <x:v>offset=(min+max)/2</x:v>
      </x:c>
      <x:c r="G15" s="67" t="str">
        <x:v>由全姿态覆盖估计；环境变动则作废</x:v>
      </x:c>
      <x:c r="H15" s="67" t="str">
        <x:v>offset XYZ</x:v>
      </x:c>
    </x:row>
    <x:row r="16" ht="45" customHeight="1">
      <x:c r="A16" s="82" t="str">
        <x:v>对角软铁</x:v>
      </x:c>
      <x:c r="B16" s="67" t="str">
        <x:v>scale=meanRadius/axisRadius；夹紧范围 0.5~2.0</x:v>
      </x:c>
      <x:c r="C16" s="67" t="str">
        <x:v>当前为对角缩放，不是完整 3×3 椭球拟合</x:v>
      </x:c>
      <x:c r="D16" s="67" t="str">
        <x:v>scale XYZ</x:v>
      </x:c>
      <x:c r="E16" s="82" t="str">
        <x:v>质量复核</x:v>
      </x:c>
      <x:c r="F16" s="67" t="str">
        <x:v>校正后 |B| spread &lt;5% 良好；&gt;10% 调查</x:v>
      </x:c>
      <x:c r="G16" s="67" t="str">
        <x:v>超过 10% 时优先排查环境，再考虑完整椭球模型</x:v>
      </x:c>
      <x:c r="H16" s="67" t="str">
        <x:v>校正前/后 min/max |B|</x:v>
      </x:c>
    </x:row>
    <x:row r="17" ht="45" customHeight="1">
      <x:c r="A17" s="82" t="str">
        <x:v>外部环境</x:v>
      </x:c>
      <x:c r="B17" s="67" t="str">
        <x:v>无磁铁、无移动铁件、无工具靠近、无负载切换</x:v>
      </x:c>
      <x:c r="C17" s="67" t="str">
        <x:v>机器人与夹具相对位置须稳定、可重复</x:v>
      </x:c>
      <x:c r="D17" s="67" t="str">
        <x:v>环境确认、异常时间戳</x:v>
      </x:c>
      <x:c r="E17" s="82" t="str">
        <x:v>Flash</x:v>
      </x:c>
      <x:c r="F17" s="67" t="str">
        <x:v>MCAL_COMMIT status=0 且 calSeq 递增</x:v>
      </x:c>
      <x:c r="G17" s="67" t="str">
        <x:v>写后读回成功后，再做掉电重启加载验证</x:v>
      </x:c>
      <x:c r="H17" s="67" t="str">
        <x:v>ACK、type=7、重启状态</x:v>
      </x:c>
    </x:row>
    <x:row r="18" ht="45" customHeight="1">
      <x:c r="A18" s="82" t="str">
        <x:v>边界</x:v>
      </x:c>
      <x:c r="B18" s="67" t="str">
        <x:v>不用于人体佩戴/关节轴/手型外参</x:v>
      </x:c>
      <x:c r="C18" s="67" t="str">
        <x:v>佩戴标定独立于工厂内参</x:v>
      </x:c>
      <x:c r="D18" s="67" t="str">
        <x:v>流程版本</x:v>
      </x:c>
      <x:c r="E18" s="82" t="str">
        <x:v>温度</x:v>
      </x:c>
      <x:c r="F18" s="67" t="str">
        <x:v>本轮不拟合温漂</x:v>
      </x:c>
      <x:c r="G18" s="67" t="str">
        <x:v>可记录环境温度，后续再建立温度模型</x:v>
      </x:c>
      <x:c r="H18" s="67" t="str">
        <x:v>温度、批次</x:v>
      </x:c>
    </x:row>
    <x:row r="19" ht="45" customHeight="1">
      <x:c r="A19" s="82" t="str">
        <x:v>非线性</x:v>
      </x:c>
      <x:c r="B19" s="67" t="str">
        <x:v>本工位不能判定 0.1% 非线性</x:v>
      </x:c>
      <x:c r="C19" s="67" t="str">
        <x:v>需要多档已知磁场/角速度/加速度参考源</x:v>
      </x:c>
      <x:c r="D19" s="67" t="str">
        <x:v>独立筛选报告</x:v>
      </x:c>
      <x:c r="E19" s="82" t="str">
        <x:v>复标</x:v>
      </x:c>
      <x:c r="F19" s="67" t="str">
        <x:v>环境或治具变更后需重新判定</x:v>
      </x:c>
      <x:c r="G19" s="67" t="str">
        <x:v>旧参数不可直接沿用到新磁环境</x:v>
      </x:c>
      <x:c r="H19" s="67" t="str">
        <x:v>变更记录</x:v>
      </x:c>
    </x:row>
  </x:sheetData>
  <x:mergeCells>
    <x:mergeCell ref="A1:H1"/>
    <x:mergeCell ref="A2:H2"/>
    <x:mergeCell ref="A3:H3"/>
    <x:mergeCell ref="A5:H5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14" hidden="0" customWidth="1"/>
    <x:col min="5" max="5" width="28" hidden="0" customWidth="1"/>
    <x:col min="6" max="6" width="18" hidden="0" customWidth="1"/>
  </x:cols>
  <x:sheetData>
    <x:row r="1" ht="28" customHeight="1">
      <x:c r="A1" s="62" t="str">
        <x:v>机械臂限位与工艺参数</x:v>
      </x:c>
      <x:c r="B1" s="62" t="str">
        <x:v>机械臂限位与工艺参数</x:v>
      </x:c>
      <x:c r="C1" s="62" t="str">
        <x:v>机械臂限位与工艺参数</x:v>
      </x:c>
      <x:c r="D1" s="62" t="str">
        <x:v>机械臂限位与工艺参数</x:v>
      </x:c>
      <x:c r="E1" s="62" t="str">
        <x:v>机械臂限位与工艺参数</x:v>
      </x:c>
      <x:c r="F1" s="62" t="str">
        <x:v>机械臂限位与工艺参数</x:v>
      </x:c>
    </x:row>
    <x:row r="2" ht="32" customHeight="1">
      <x:c r="A2" s="63" t="str">
        <x:v>根据当前表格填写。所有旋转从中位进入并回中；实际控制器软限位优先于本工作表。黄色单元格为可调整输入。</x:v>
      </x:c>
      <x:c r="B2" s="63" t="str">
        <x:v>根据当前表格填写。所有旋转从中位进入并回中；实际控制器软限位优先于本工作表。黄色单元格为可调整输入。</x:v>
      </x:c>
      <x:c r="C2" s="63" t="str">
        <x:v>根据当前表格填写。所有旋转从中位进入并回中；实际控制器软限位优先于本工作表。黄色单元格为可调整输入。</x:v>
      </x:c>
      <x:c r="D2" s="63" t="str">
        <x:v>根据当前表格填写。所有旋转从中位进入并回中；实际控制器软限位优先于本工作表。黄色单元格为可调整输入。</x:v>
      </x:c>
      <x:c r="E2" s="63" t="str">
        <x:v>根据当前表格填写。所有旋转从中位进入并回中；实际控制器软限位优先于本工作表。黄色单元格为可调整输入。</x:v>
      </x:c>
      <x:c r="F2" s="63" t="str">
        <x:v>根据当前表格填写。所有旋转从中位进入并回中；实际控制器软限位优先于本工作表。黄色单元格为可调整输入。</x:v>
      </x:c>
    </x:row>
    <x:row r="3">
      <x:c r="A3" s="65"/>
      <x:c r="B3" s="65"/>
      <x:c r="C3" s="65"/>
      <x:c r="D3" s="65"/>
      <x:c r="E3" s="65"/>
      <x:c r="F3" s="65"/>
    </x:row>
    <x:row r="4">
      <x:c r="A4" s="62" t="str">
        <x:v>G 阶段角度与采集窗口</x:v>
      </x:c>
      <x:c r="B4" s="62" t="str">
        <x:v>G 阶段角度与采集窗口</x:v>
      </x:c>
      <x:c r="C4" s="62" t="str">
        <x:v>G 阶段角度与采集窗口</x:v>
      </x:c>
      <x:c r="D4" s="65"/>
      <x:c r="E4" s="65"/>
      <x:c r="F4" s="65"/>
    </x:row>
    <x:row r="5">
      <x:c r="A5" s="70" t="str">
        <x:v>参数</x:v>
      </x:c>
      <x:c r="B5" s="70" t="str">
        <x:v>值</x:v>
      </x:c>
      <x:c r="C5" s="70" t="str">
        <x:v>说明</x:v>
      </x:c>
      <x:c r="D5" s="65"/>
      <x:c r="E5" s="65"/>
      <x:c r="F5" s="65"/>
    </x:row>
    <x:row r="6">
      <x:c r="A6" s="67" t="str">
        <x:v>X 单向扫描角度（°）</x:v>
      </x:c>
      <x:c r="B6" s="72" t="n">
        <x:v>150</x:v>
      </x:c>
      <x:c r="C6" s="67" t="str">
        <x:v>-75° → +75°</x:v>
      </x:c>
      <x:c r="D6" s="65"/>
      <x:c r="E6" s="65"/>
      <x:c r="F6" s="65"/>
    </x:row>
    <x:row r="7">
      <x:c r="A7" s="67" t="str">
        <x:v>Y 单向扫描角度（°）</x:v>
      </x:c>
      <x:c r="B7" s="72" t="n">
        <x:v>150</x:v>
      </x:c>
      <x:c r="C7" s="67" t="str">
        <x:v>-75° → +75°</x:v>
      </x:c>
      <x:c r="D7" s="65"/>
      <x:c r="E7" s="65"/>
      <x:c r="F7" s="65"/>
    </x:row>
    <x:row r="8">
      <x:c r="A8" s="67" t="str">
        <x:v>G 阶段角速度（°/s）</x:v>
      </x:c>
      <x:c r="B8" s="72" t="n">
        <x:v>15</x:v>
      </x:c>
      <x:c r="C8" s="67" t="str">
        <x:v>仅匀速段计入 Gyro M</x:v>
      </x:c>
      <x:c r="D8" s="65"/>
      <x:c r="E8" s="65"/>
      <x:c r="F8" s="65"/>
    </x:row>
    <x:row r="9">
      <x:c r="A9" s="67" t="str">
        <x:v>X/Y 有效采集时间（s）</x:v>
      </x:c>
      <x:c r="B9" s="68" t="n">
        <x:f>B6/B8</x:f>
        <x:v>10</x:v>
      </x:c>
      <x:c r="C9" s="67" t="str">
        <x:v>按角度/角速度计算，应为 10.0 s</x:v>
      </x:c>
      <x:c r="D9" s="65"/>
      <x:c r="E9" s="65"/>
      <x:c r="F9" s="65"/>
    </x:row>
    <x:row r="10">
      <x:c r="A10" s="67" t="str">
        <x:v>Yaw 单向有效采集时间（s）</x:v>
      </x:c>
      <x:c r="B10" s="68" t="n">
        <x:v>5.3</x:v>
      </x:c>
      <x:c r="C10" s="67" t="str">
        <x:v>当前机器人限位给出的匀速可用窗口</x:v>
      </x:c>
      <x:c r="D10" s="65"/>
      <x:c r="E10" s="65"/>
      <x:c r="F10" s="65"/>
    </x:row>
    <x:row r="11">
      <x:c r="A11" s="67" t="str">
        <x:v>Yaw 可采样角度（°）</x:v>
      </x:c>
      <x:c r="B11" s="68" t="n">
        <x:f>B8*B10</x:f>
        <x:v>79.5</x:v>
      </x:c>
      <x:c r="C11" s="67" t="str">
        <x:v>角速度×单向有效时间，应为 79.5°</x:v>
      </x:c>
      <x:c r="D11" s="65"/>
      <x:c r="E11" s="65"/>
      <x:c r="F11" s="65"/>
    </x:row>
    <x:row r="12">
      <x:c r="A12" s="67" t="str">
        <x:v>G05/G06 总单步时长（s）</x:v>
      </x:c>
      <x:c r="B12" s="68" t="n">
        <x:f>2+1+B10+2</x:f>
        <x:v>10.3</x:v>
      </x:c>
      <x:c r="C12" s="67" t="str">
        <x:v>预置 2 + 稳定 1 + 有效采集 + 回中 2</x:v>
      </x:c>
      <x:c r="D12" s="65"/>
      <x:c r="E12" s="65"/>
      <x:c r="F12" s="65"/>
    </x:row>
    <x:row r="13">
      <x:c r="A13" s="65"/>
      <x:c r="B13" s="65"/>
      <x:c r="C13" s="65"/>
      <x:c r="D13" s="65"/>
      <x:c r="E13" s="65"/>
      <x:c r="F13" s="65"/>
    </x:row>
    <x:row r="14">
      <x:c r="A14" s="80" t="str">
        <x:v>磁标定环境确认（执行 M01 前逐项确认）</x:v>
      </x:c>
      <x:c r="B14" s="80" t="str">
        <x:v>磁标定环境确认（执行 M01 前逐项确认）</x:v>
      </x:c>
      <x:c r="C14" s="80" t="str">
        <x:v>磁标定环境确认（执行 M01 前逐项确认）</x:v>
      </x:c>
      <x:c r="D14" s="80" t="str">
        <x:v>磁标定环境确认（执行 M01 前逐项确认）</x:v>
      </x:c>
      <x:c r="E14" s="80" t="str">
        <x:v>磁标定环境确认（执行 M01 前逐项确认）</x:v>
      </x:c>
      <x:c r="F14" s="80" t="str">
        <x:v>磁标定环境确认（执行 M01 前逐项确认）</x:v>
      </x:c>
    </x:row>
    <x:row r="15">
      <x:c r="A15" s="81" t="str">
        <x:v>检查项</x:v>
      </x:c>
      <x:c r="B15" s="81" t="str">
        <x:v>判定</x:v>
      </x:c>
      <x:c r="C15" s="81" t="str">
        <x:v>检查项</x:v>
      </x:c>
      <x:c r="D15" s="81" t="str">
        <x:v>判定</x:v>
      </x:c>
      <x:c r="E15" s="81" t="str">
        <x:v>检查项</x:v>
      </x:c>
      <x:c r="F15" s="81" t="str">
        <x:v>判定</x:v>
      </x:c>
    </x:row>
    <x:row r="16" ht="33" customHeight="1">
      <x:c r="A16" s="67" t="str">
        <x:v>MMC5983MA 在线 / ID 正确</x:v>
      </x:c>
      <x:c r="B16" s="73" t="str">
        <x:v>未开始</x:v>
      </x:c>
      <x:c r="C16" s="67" t="str">
        <x:v>type=10/12 连续到达</x:v>
      </x:c>
      <x:c r="D16" s="67" t="str">
        <x:v>未开始</x:v>
      </x:c>
      <x:c r="E16" s="67" t="str">
        <x:v>机器人与夹具相对位置可重复</x:v>
      </x:c>
      <x:c r="F16" s="67" t="str">
        <x:v>未开始</x:v>
      </x:c>
    </x:row>
    <x:row r="17" ht="33" customHeight="1">
      <x:c r="A17" s="67" t="str">
        <x:v>附近 1 m 内无磁铁/移动铁件</x:v>
      </x:c>
      <x:c r="B17" s="73" t="str">
        <x:v>未开始</x:v>
      </x:c>
      <x:c r="C17" s="67" t="str">
        <x:v>无工具/铁件在 M 段靠近掌心</x:v>
      </x:c>
      <x:c r="D17" s="67" t="str">
        <x:v>未开始</x:v>
      </x:c>
      <x:c r="E17" s="67" t="str">
        <x:v>无电机负载/继电器切换</x:v>
      </x:c>
      <x:c r="F17" s="67" t="str">
        <x:v>未开始</x:v>
      </x:c>
    </x:row>
    <x:row r="18" ht="33" customHeight="1">
      <x:c r="A18" s="67" t="str">
        <x:v>线束固定、无受力改变</x:v>
      </x:c>
      <x:c r="B18" s="73" t="str">
        <x:v>未开始</x:v>
      </x:c>
      <x:c r="C18" s="67" t="str">
        <x:v>Yaw 限位与安全位确认</x:v>
      </x:c>
      <x:c r="D18" s="67" t="str">
        <x:v>未开始</x:v>
      </x:c>
      <x:c r="E18" s="67" t="str">
        <x:v>M01 Roll/Pitch 轨迹可完整执行</x:v>
      </x:c>
      <x:c r="F18" s="67" t="str">
        <x:v>未开始</x:v>
      </x:c>
    </x:row>
    <x:row r="19" ht="33" customHeight="1">
      <x:c r="A19" s="67" t="str">
        <x:v>M02/M03 倾斜 + Yaw 轨迹可执行</x:v>
      </x:c>
      <x:c r="B19" s="73" t="str">
        <x:v>未开始</x:v>
      </x:c>
      <x:c r="C19" s="67" t="str">
        <x:v>温度记录（仅留档）</x:v>
      </x:c>
      <x:c r="D19" s="67" t="str">
        <x:v>未开始</x:v>
      </x:c>
      <x:c r="E19" s="67" t="str">
        <x:v>工位、SN、操作者已填写</x:v>
      </x:c>
      <x:c r="F19" s="67" t="str">
        <x:v>未开始</x:v>
      </x:c>
    </x:row>
    <x:row r="20" ht="33" customHeight="1">
      <x:c r="A20" s="67" t="str">
        <x:v>异常时中止并保留旧参数</x:v>
      </x:c>
      <x:c r="B20" s="73" t="str">
        <x:v>未开始</x:v>
      </x:c>
      <x:c r="C20" s="67" t="str">
        <x:v>通过后执行重启加载检查</x:v>
      </x:c>
      <x:c r="D20" s="67" t="str">
        <x:v>未开始</x:v>
      </x:c>
      <x:c r="E20" s="67" t="str">
        <x:v>数据目录可写入</x:v>
      </x:c>
      <x:c r="F20" s="67" t="str">
        <x:v>未开始</x:v>
      </x:c>
    </x:row>
    <x:row r="21" ht="33" customHeight="1">
      <x:c r="A21" s="67" t="str">
        <x:v>说明</x:v>
      </x:c>
      <x:c r="B21" s="67" t="str">
        <x:v>所有判定均通过后，才允许打开 M01（0x30 / 0x08）。</x:v>
      </x:c>
      <x:c r="C21" s="67" t="str">
        <x:v>说明</x:v>
      </x:c>
      <x:c r="D21" s="67" t="str">
        <x:v>“未开始”仅是初始值，可由上位机或操作员更新。</x:v>
      </x:c>
      <x:c r="E21" s="67" t="str">
        <x:v>说明</x:v>
      </x:c>
      <x:c r="F21" s="67" t="str">
        <x:v>发现环境变化，取消本次磁标定并重新从 M01 开始。</x:v>
      </x:c>
    </x:row>
  </x:sheetData>
  <x:mergeCells>
    <x:mergeCell ref="A1:F1"/>
    <x:mergeCell ref="A2:F2"/>
    <x:mergeCell ref="A4:C4"/>
    <x:mergeCell ref="A14:F14"/>
  </x:mergeCells>
  <x:dataValidations count="1">
    <x:dataValidation type="list" sqref="B16:B20">
      <x:formula1>"未开始,通过,不通过,不适用"</x:formula1>
    </x:dataValidation>
  </x:dataValidations>
  <x:pageMargins left="0.7" right="0.7" top="0.75" bottom="0.75" header="0.3" footer="0.3"/>
</x:worksheet>
</file>